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9c1175306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석요약" sheetId="1" r:id="R5d11573099ff41e7"/>
    <x:sheet xmlns:r="http://schemas.openxmlformats.org/officeDocument/2006/relationships" name="항목별집계" sheetId="2" r:id="R0d725928d29e4cd4"/>
    <x:sheet xmlns:r="http://schemas.openxmlformats.org/officeDocument/2006/relationships" name="상품교차분석" sheetId="3" r:id="R9be07202b1964c28"/>
    <x:sheet xmlns:r="http://schemas.openxmlformats.org/officeDocument/2006/relationships" name="특약교차분석" sheetId="4" r:id="R22d6467233ce46bd"/>
    <x:sheet xmlns:r="http://schemas.openxmlformats.org/officeDocument/2006/relationships" name="고객데이터" sheetId="5" r:id="R3af283523436462f"/>
    <x:sheet xmlns:r="http://schemas.openxmlformats.org/officeDocument/2006/relationships" name="분류기준" sheetId="6" r:id="Rc549035de092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#,##0.0"/>
  </x:numFmts>
  <x:fonts count="6">
    <x:font>
      <x:sz val="11"/>
      <x:name val="Carlito"/>
    </x:font>
    <x:font>
      <x:sz val="10"/>
      <x:color rgb="FF24364B"/>
      <x:name val="Malgun Gothic"/>
    </x:font>
    <x:font>
      <x:b/>
      <x:sz val="16"/>
      <x:color rgb="FF173B63"/>
      <x:name val="Malgun Gothic"/>
    </x:font>
    <x:font>
      <x:b/>
      <x:sz val="10"/>
      <x:color rgb="FFFFFFFF"/>
      <x:name val="Malgun Gothic"/>
    </x:font>
    <x:font>
      <x:b/>
      <x:sz val="11"/>
      <x:color rgb="FF173B63"/>
      <x:name val="Malgun Gothic"/>
    </x:font>
    <x:font>
      <x:sz val="10"/>
      <x:color rgb="FF65788C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EEF4FA"/>
      </x:patternFill>
    </x:fill>
  </x:fills>
  <x:borders count="2">
    <x:border/>
    <x:border>
      <x:bottom style="thin">
        <x:color rgb="FF356CA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69a72d4d44495" /><Relationship Type="http://schemas.openxmlformats.org/officeDocument/2006/relationships/theme" Target="/xl/theme/theme1.xml" Id="R9cdc4f7d98594dbf" /><Relationship Type="http://schemas.openxmlformats.org/officeDocument/2006/relationships/sharedStrings" Target="/xl/sharedStrings.xml" Id="Re52bdb98f42845cc" /><Relationship Type="http://schemas.openxmlformats.org/officeDocument/2006/relationships/worksheet" Target="/xl/worksheets/sheet1.xml" Id="R5d11573099ff41e7" /><Relationship Type="http://schemas.openxmlformats.org/officeDocument/2006/relationships/worksheet" Target="/xl/worksheets/sheet2.xml" Id="R0d725928d29e4cd4" /><Relationship Type="http://schemas.openxmlformats.org/officeDocument/2006/relationships/worksheet" Target="/xl/worksheets/sheet3.xml" Id="R9be07202b1964c28" /><Relationship Type="http://schemas.openxmlformats.org/officeDocument/2006/relationships/worksheet" Target="/xl/worksheets/sheet4.xml" Id="R22d6467233ce46bd" /><Relationship Type="http://schemas.openxmlformats.org/officeDocument/2006/relationships/worksheet" Target="/xl/worksheets/sheet5.xml" Id="R3af283523436462f" /><Relationship Type="http://schemas.openxmlformats.org/officeDocument/2006/relationships/worksheet" Target="/xl/worksheets/sheet6.xml" Id="Rc549035de09249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cc0a49b8504bff" /><Relationship Type="http://schemas.openxmlformats.org/officeDocument/2006/relationships/chart" Target="/xl/drawings/charts/chart2.xml" Id="R5e41e2ca49df48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algun Gothic"/>
                <a:ea typeface="Malgun Gothic"/>
                <a:cs typeface="Malgun Gothic"/>
              </a:rPr>
              <a:t>연령대별 고객수 (명)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고객수(명)</c:v>
          </c:tx>
          <c:spPr>
            <a:solidFill xmlns:a="http://schemas.openxmlformats.org/drawingml/2006/main">
              <a:srgbClr val="356CA5"/>
            </a:solidFill>
          </c:spPr>
          <c:cat>
            <c:strRef>
              <c:f>'분석요약'!$A$15:$A$19</c:f>
              <c:strCache>
                <c:ptCount val="0"/>
              </c:strCache>
            </c:strRef>
          </c:cat>
          <c:val>
            <c:numRef>
              <c:f>'분석요약'!$B$15:$B$19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algun Gothic"/>
                <a:ea typeface="Malgun Gothic"/>
                <a:cs typeface="Malgun Gothic"/>
              </a:rPr>
              <a:t>상품별 고객수 (명)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algun Gothic"/>
              <a:ea typeface="Malgun Gothic"/>
              <a:cs typeface="Malgun Gothic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고객수(명)</c:v>
          </c:tx>
          <c:spPr>
            <a:solidFill xmlns:a="http://schemas.openxmlformats.org/drawingml/2006/main">
              <a:srgbClr val="356CA5"/>
            </a:solidFill>
          </c:spPr>
          <c:cat>
            <c:strRef>
              <c:f>'분석요약'!$F$6:$F$9</c:f>
              <c:strCache>
                <c:ptCount val="0"/>
              </c:strCache>
            </c:strRef>
          </c:cat>
          <c:val>
            <c:numRef>
              <c:f>'분석요약'!$G$6:$G$9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algun Gothic"/>
                <a:ea typeface="Malgun Gothic"/>
                <a:cs typeface="Malgun Gothic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cc0a49b8504bff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41e2ca49df48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ustomers" displayName="Customers" ref="A4:Q1004" headerRowCount="1" totalsRowCount="0" totalsRowShown="0">
  <x:autoFilter ref="A4:Q1004"/>
  <x:tableColumns count="17">
    <x:tableColumn id="1" name="분석ID"/>
    <x:tableColumn id="2" name="나이"/>
    <x:tableColumn id="3" name="연령대"/>
    <x:tableColumn id="4" name="성별"/>
    <x:tableColumn id="5" name="연소득_만원"/>
    <x:tableColumn id="6" name="직업위험등급"/>
    <x:tableColumn id="7" name="결혼여부"/>
    <x:tableColumn id="8" name="자녀수"/>
    <x:tableColumn id="9" name="자녀구간"/>
    <x:tableColumn id="10" name="흡연여부"/>
    <x:tableColumn id="11" name="만성질환"/>
    <x:tableColumn id="12" name="가족력"/>
    <x:tableColumn id="13" name="가입상품"/>
    <x:tableColumn id="14" name="상품분류"/>
    <x:tableColumn id="15" name="가입특약"/>
    <x:tableColumn id="16" name="특약상태"/>
    <x:tableColumn id="17" name="특약가입여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280448ac6e43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d45116d31ae54e8b" /></Relationships>
</file>

<file path=xl/worksheets/sheet1.xml><?xml version="1.0" encoding="utf-8"?>
<x:worksheet xmlns:x="http://schemas.openxmlformats.org/spreadsheetml/2006/main">
  <x:sheetPr>
    <x:tabColor rgb="FF173B63"/>
  </x:sheetPr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6" hidden="0" customWidth="1"/>
    <x:col min="4" max="4" width="20" hidden="0" customWidth="1"/>
    <x:col min="5" max="5" width="4" hidden="0" customWidth="1"/>
    <x:col min="6" max="6" width="22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동양생명 예시 고객 분류 분석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4" customHeight="1">
      <x:c r="A3" s="2" t="str">
        <x:v>더미고객 1,000명. 연령·흡연·결혼·자녀·상품·특약별 현황.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11" t="str">
        <x:v>전체 현황</x:v>
      </x:c>
      <x:c r="B5" s="11" t="str">
        <x:v>고객수(명)</x:v>
      </x:c>
      <x:c r="C5" s="11" t="str">
        <x:v>전체비중</x:v>
      </x:c>
      <x:c r="D5" s="11" t="str">
        <x:v>구분</x:v>
      </x:c>
      <x:c r="E5" s="2"/>
      <x:c r="F5" s="11" t="str">
        <x:v>가입상품</x:v>
      </x:c>
      <x:c r="G5" s="11" t="str">
        <x:v>고객수(명)</x:v>
      </x:c>
      <x:c r="H5" s="11" t="str">
        <x:v>전체비중</x:v>
      </x:c>
      <x:c r="I5" s="11" t="str">
        <x:v>특약가입(명)</x:v>
      </x:c>
      <x:c r="J5" s="11" t="str">
        <x:v>특약가입률</x:v>
      </x:c>
    </x:row>
    <x:row r="6" ht="25" customHeight="1">
      <x:c r="A6" s="12" t="str">
        <x:v>전체 고객</x:v>
      </x:c>
      <x:c r="B6" s="12" t="n">
        <x:f>COUNTA('고객데이터'!$A$5:$A$1004)</x:f>
        <x:v>1000</x:v>
      </x:c>
      <x:c r="C6" s="15" t="n">
        <x:f>1</x:f>
        <x:v>1</x:v>
      </x:c>
      <x:c r="D6" s="12" t="str">
        <x:v>원본 행 기준</x:v>
      </x:c>
      <x:c r="E6" s="2"/>
      <x:c r="F6" s="12" t="str">
        <x:v>암/건강보험</x:v>
      </x:c>
      <x:c r="G6" s="12" t="n">
        <x:f>'항목별집계'!B36</x:f>
        <x:v>330</x:v>
      </x:c>
      <x:c r="H6" s="15" t="n">
        <x:f>'항목별집계'!C36</x:f>
        <x:v>0.33</x:v>
      </x:c>
      <x:c r="I6" s="12" t="n">
        <x:f>'항목별집계'!F36</x:f>
        <x:v>289</x:v>
      </x:c>
      <x:c r="J6" s="15" t="n">
        <x:f>'항목별집계'!G36</x:f>
        <x:v>0.8757575757575757</x:v>
      </x:c>
    </x:row>
    <x:row r="7" ht="25" customHeight="1">
      <x:c r="A7" s="2" t="str">
        <x:v>흡연</x:v>
      </x:c>
      <x:c r="B7" s="2" t="n">
        <x:f>'항목별집계'!B17</x:f>
        <x:v>234</x:v>
      </x:c>
      <x:c r="C7" s="16" t="n">
        <x:f>B7/$B$6</x:f>
        <x:v>0.234</x:v>
      </x:c>
      <x:c r="D7" s="2" t="str">
        <x:v>흡연 고객</x:v>
      </x:c>
      <x:c r="E7" s="2"/>
      <x:c r="F7" s="2" t="str">
        <x:v>간편심사보험</x:v>
      </x:c>
      <x:c r="G7" s="2" t="n">
        <x:f>'항목별집계'!B37</x:f>
        <x:v>261</x:v>
      </x:c>
      <x:c r="H7" s="16" t="n">
        <x:f>'항목별집계'!C37</x:f>
        <x:v>0.261</x:v>
      </x:c>
      <x:c r="I7" s="2" t="n">
        <x:f>'항목별집계'!F37</x:f>
        <x:v>212</x:v>
      </x:c>
      <x:c r="J7" s="16" t="n">
        <x:f>'항목별집계'!G37</x:f>
        <x:v>0.8122605363984674</x:v>
      </x:c>
    </x:row>
    <x:row r="8" ht="25" customHeight="1">
      <x:c r="A8" s="12" t="str">
        <x:v>기혼</x:v>
      </x:c>
      <x:c r="B8" s="12" t="n">
        <x:f>'항목별집계'!B23</x:f>
        <x:v>663</x:v>
      </x:c>
      <x:c r="C8" s="15" t="n">
        <x:f>B8/$B$6</x:f>
        <x:v>0.663</x:v>
      </x:c>
      <x:c r="D8" s="12" t="str">
        <x:v>기혼 고객</x:v>
      </x:c>
      <x:c r="E8" s="2"/>
      <x:c r="F8" s="12" t="str">
        <x:v>종신보험</x:v>
      </x:c>
      <x:c r="G8" s="12" t="n">
        <x:f>'항목별집계'!B38</x:f>
        <x:v>202</x:v>
      </x:c>
      <x:c r="H8" s="15" t="n">
        <x:f>'항목별집계'!C38</x:f>
        <x:v>0.202</x:v>
      </x:c>
      <x:c r="I8" s="12" t="n">
        <x:f>'항목별집계'!F38</x:f>
        <x:v>149</x:v>
      </x:c>
      <x:c r="J8" s="15" t="n">
        <x:f>'항목별집계'!G38</x:f>
        <x:v>0.7376237623762376</x:v>
      </x:c>
    </x:row>
    <x:row r="9" ht="25" customHeight="1">
      <x:c r="A9" s="2" t="str">
        <x:v>특약 가입</x:v>
      </x:c>
      <x:c r="B9" s="2" t="n">
        <x:f>'항목별집계'!B44</x:f>
        <x:v>650</x:v>
      </x:c>
      <x:c r="C9" s="16" t="n">
        <x:f>B9/$B$6</x:f>
        <x:v>0.65</x:v>
      </x:c>
      <x:c r="D9" s="2" t="str">
        <x:v>특약 있음</x:v>
      </x:c>
      <x:c r="E9" s="2"/>
      <x:c r="F9" s="2" t="str">
        <x:v>연금보험</x:v>
      </x:c>
      <x:c r="G9" s="2" t="n">
        <x:f>'항목별집계'!B39</x:f>
        <x:v>207</x:v>
      </x:c>
      <x:c r="H9" s="16" t="n">
        <x:f>'항목별집계'!C39</x:f>
        <x:v>0.207</x:v>
      </x:c>
      <x:c r="I9" s="2" t="n">
        <x:f>'항목별집계'!F39</x:f>
        <x:v>0</x:v>
      </x:c>
      <x:c r="J9" s="16" t="n">
        <x:f>'항목별집계'!G39</x:f>
        <x:v>0</x:v>
      </x:c>
    </x:row>
    <x:row r="10" ht="25" customHeight="1">
      <x:c r="A10" s="12" t="str">
        <x:v>특약 선택 안함</x:v>
      </x:c>
      <x:c r="B10" s="12" t="n">
        <x:f>'항목별집계'!B45</x:f>
        <x:v>143</x:v>
      </x:c>
      <x:c r="C10" s="15" t="n">
        <x:f>B10/$B$6</x:f>
        <x:v>0.143</x:v>
      </x:c>
      <x:c r="D10" s="12" t="str">
        <x:v>미선택</x:v>
      </x:c>
      <x:c r="E10" s="2"/>
      <x:c r="F10" s="2"/>
      <x:c r="G10" s="2"/>
      <x:c r="H10" s="2"/>
      <x:c r="I10" s="2"/>
      <x:c r="J10" s="2"/>
    </x:row>
    <x:row r="11" ht="25" customHeight="1">
      <x:c r="A11" s="2" t="str">
        <x:v>상품에 특약 없음</x:v>
      </x:c>
      <x:c r="B11" s="2" t="n">
        <x:f>'항목별집계'!B46</x:f>
        <x:v>207</x:v>
      </x:c>
      <x:c r="C11" s="16" t="n">
        <x:f>B11/$B$6</x:f>
        <x:v>0.207</x:v>
      </x:c>
      <x:c r="D11" s="2" t="str">
        <x:v>연금상품</x:v>
      </x:c>
      <x:c r="E11" s="2"/>
      <x:c r="F11" s="2" t="str">
        <x:v>특약 가능 3종 내 가입률</x:v>
      </x:c>
      <x:c r="G11" s="2"/>
      <x:c r="H11" s="2" t="n">
        <x:f>I6+I7+I8</x:f>
        <x:v>650</x:v>
      </x:c>
      <x:c r="I11" s="2" t="n">
        <x:f>G6+G7+G8</x:f>
        <x:v>793</x:v>
      </x:c>
      <x:c r="J11" s="16" t="n">
        <x:f>H11/I11</x:f>
        <x:v>0.819672131147541</x:v>
      </x:c>
    </x:row>
    <x:row r="12" ht="24" customHeight="1">
      <x:c r="A12" s="2"/>
      <x:c r="B12" s="2"/>
      <x:c r="C12" s="2"/>
      <x:c r="D12" s="2"/>
      <x:c r="E12" s="2"/>
      <x:c r="F12" s="20" t="str">
        <x:v>분자: 특약 가입자 / 분모: 연금 제외 고객</x:v>
      </x:c>
      <x:c r="G12" s="2"/>
      <x:c r="H12" s="2"/>
      <x:c r="I12" s="2"/>
      <x:c r="J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36" customHeight="1">
      <x:c r="A14" s="11" t="str">
        <x:v>연령대</x:v>
      </x:c>
      <x:c r="B14" s="11" t="str">
        <x:v>고객수(명)</x:v>
      </x:c>
      <x:c r="C14" s="11" t="str">
        <x:v>전체비중</x:v>
      </x:c>
      <x:c r="D14" s="11" t="str">
        <x:v>특약가입률</x:v>
      </x:c>
      <x:c r="E14" s="2"/>
      <x:c r="F14" s="11" t="str">
        <x:v>자녀구간</x:v>
      </x:c>
      <x:c r="G14" s="11" t="str">
        <x:v>고객수(명)</x:v>
      </x:c>
      <x:c r="H14" s="11" t="str">
        <x:v>전체비중</x:v>
      </x:c>
      <x:c r="I14" s="11" t="str">
        <x:v>특약가입(명)</x:v>
      </x:c>
      <x:c r="J14" s="11" t="str">
        <x:v>특약가입률</x:v>
      </x:c>
    </x:row>
    <x:row r="15" ht="25" customHeight="1">
      <x:c r="A15" s="12" t="str">
        <x:v>20대</x:v>
      </x:c>
      <x:c r="B15" s="12" t="n">
        <x:f>'항목별집계'!B7</x:f>
        <x:v>220</x:v>
      </x:c>
      <x:c r="C15" s="15" t="n">
        <x:f>'항목별집계'!C7</x:f>
        <x:v>0.22</x:v>
      </x:c>
      <x:c r="D15" s="15" t="n">
        <x:f>'항목별집계'!G7</x:f>
        <x:v>0.4954545454545455</x:v>
      </x:c>
      <x:c r="E15" s="2"/>
      <x:c r="F15" s="12" t="str">
        <x:v>0명</x:v>
      </x:c>
      <x:c r="G15" s="12" t="n">
        <x:f>'항목별집계'!B28</x:f>
        <x:v>487</x:v>
      </x:c>
      <x:c r="H15" s="15" t="n">
        <x:f>'항목별집계'!C28</x:f>
        <x:v>0.487</x:v>
      </x:c>
      <x:c r="I15" s="12" t="n">
        <x:f>'항목별집계'!F28</x:f>
        <x:v>256</x:v>
      </x:c>
      <x:c r="J15" s="15" t="n">
        <x:f>'항목별집계'!G28</x:f>
        <x:v>0.5256673511293635</x:v>
      </x:c>
    </x:row>
    <x:row r="16" ht="25" customHeight="1">
      <x:c r="A16" s="2" t="str">
        <x:v>30대</x:v>
      </x:c>
      <x:c r="B16" s="2" t="n">
        <x:f>'항목별집계'!B8</x:f>
        <x:v>202</x:v>
      </x:c>
      <x:c r="C16" s="16" t="n">
        <x:f>'항목별집계'!C8</x:f>
        <x:v>0.202</x:v>
      </x:c>
      <x:c r="D16" s="16" t="n">
        <x:f>'항목별집계'!G8</x:f>
        <x:v>0.7326732673267327</x:v>
      </x:c>
      <x:c r="E16" s="2"/>
      <x:c r="F16" s="2" t="str">
        <x:v>1명</x:v>
      </x:c>
      <x:c r="G16" s="2" t="n">
        <x:f>'항목별집계'!B29</x:f>
        <x:v>295</x:v>
      </x:c>
      <x:c r="H16" s="16" t="n">
        <x:f>'항목별집계'!C29</x:f>
        <x:v>0.295</x:v>
      </x:c>
      <x:c r="I16" s="2" t="n">
        <x:f>'항목별집계'!F29</x:f>
        <x:v>233</x:v>
      </x:c>
      <x:c r="J16" s="16" t="n">
        <x:f>'항목별집계'!G29</x:f>
        <x:v>0.7898305084745763</x:v>
      </x:c>
    </x:row>
    <x:row r="17" ht="25" customHeight="1">
      <x:c r="A17" s="12" t="str">
        <x:v>40대</x:v>
      </x:c>
      <x:c r="B17" s="12" t="n">
        <x:f>'항목별집계'!B9</x:f>
        <x:v>235</x:v>
      </x:c>
      <x:c r="C17" s="15" t="n">
        <x:f>'항목별집계'!C9</x:f>
        <x:v>0.235</x:v>
      </x:c>
      <x:c r="D17" s="15" t="n">
        <x:f>'항목별집계'!G9</x:f>
        <x:v>0.7191489361702128</x:v>
      </x:c>
      <x:c r="E17" s="2"/>
      <x:c r="F17" s="12" t="str">
        <x:v>2명</x:v>
      </x:c>
      <x:c r="G17" s="12" t="n">
        <x:f>'항목별집계'!B30</x:f>
        <x:v>207</x:v>
      </x:c>
      <x:c r="H17" s="15" t="n">
        <x:f>'항목별집계'!C30</x:f>
        <x:v>0.207</x:v>
      </x:c>
      <x:c r="I17" s="12" t="n">
        <x:f>'항목별집계'!F30</x:f>
        <x:v>152</x:v>
      </x:c>
      <x:c r="J17" s="15" t="n">
        <x:f>'항목별집계'!G30</x:f>
        <x:v>0.7342995169082126</x:v>
      </x:c>
    </x:row>
    <x:row r="18" ht="25" customHeight="1">
      <x:c r="A18" s="2" t="str">
        <x:v>50대</x:v>
      </x:c>
      <x:c r="B18" s="2" t="n">
        <x:f>'항목별집계'!B10</x:f>
        <x:v>234</x:v>
      </x:c>
      <x:c r="C18" s="16" t="n">
        <x:f>'항목별집계'!C10</x:f>
        <x:v>0.234</x:v>
      </x:c>
      <x:c r="D18" s="16" t="n">
        <x:f>'항목별집계'!G10</x:f>
        <x:v>0.6923076923076923</x:v>
      </x:c>
      <x:c r="E18" s="2"/>
      <x:c r="F18" s="2" t="str">
        <x:v>3명 이상</x:v>
      </x:c>
      <x:c r="G18" s="2" t="n">
        <x:f>'항목별집계'!B31</x:f>
        <x:v>11</x:v>
      </x:c>
      <x:c r="H18" s="16" t="n">
        <x:f>'항목별집계'!C31</x:f>
        <x:v>0.011</x:v>
      </x:c>
      <x:c r="I18" s="2" t="n">
        <x:f>'항목별집계'!F31</x:f>
        <x:v>9</x:v>
      </x:c>
      <x:c r="J18" s="16" t="n">
        <x:f>'항목별집계'!G31</x:f>
        <x:v>0.8181818181818182</x:v>
      </x:c>
    </x:row>
    <x:row r="19" ht="25" customHeight="1">
      <x:c r="A19" s="12" t="str">
        <x:v>60대</x:v>
      </x:c>
      <x:c r="B19" s="12" t="n">
        <x:f>'항목별집계'!B11</x:f>
        <x:v>109</x:v>
      </x:c>
      <x:c r="C19" s="15" t="n">
        <x:f>'항목별집계'!C11</x:f>
        <x:v>0.109</x:v>
      </x:c>
      <x:c r="D19" s="15" t="n">
        <x:f>'항목별집계'!G11</x:f>
        <x:v>0.5688073394495413</x:v>
      </x:c>
      <x:c r="E19" s="2"/>
      <x:c r="F19" s="2"/>
      <x:c r="G19" s="2"/>
      <x:c r="H19" s="2"/>
      <x:c r="I19" s="2"/>
      <x:c r="J19" s="2"/>
    </x:row>
    <x:row r="20" ht="24" customHeight="1">
      <x:c r="A20" s="2" t="str">
        <x:v>60대는 60~65세만 포함.</x:v>
      </x:c>
      <x:c r="B20" s="2"/>
      <x:c r="C20" s="2"/>
      <x:c r="D20" s="2"/>
      <x:c r="E20" s="2"/>
      <x:c r="F20" s="2" t="str">
        <x:v>3명 이상은 실제로 3명인 고객 11명.</x:v>
      </x:c>
      <x:c r="G20" s="2"/>
      <x:c r="H20" s="2"/>
      <x:c r="I20" s="2"/>
      <x:c r="J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4" customHeight="1">
      <x:c r="A38" s="13" t="str">
        <x:v>해석과 사용</x:v>
      </x:c>
      <x:c r="B38" s="2"/>
      <x:c r="C38" s="2"/>
      <x:c r="D38" s="2"/>
      <x:c r="E38" s="2"/>
      <x:c r="F38" s="2"/>
      <x:c r="G38" s="2"/>
      <x:c r="H38" s="2"/>
      <x:c r="I38" s="2"/>
      <x:c r="J38" s="2"/>
    </x:row>
    <x:row r="39" ht="24" customHeight="1">
      <x:c r="A39" s="2" t="str">
        <x:v>20·30대는 암/건강보험, 40대는 종신보험, 50·60대는 간편심사보험이 각 연령대 내 최다 가입 상품입니다.</x:v>
      </x:c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4" customHeight="1">
      <x:c r="A40" s="2" t="str">
        <x:v>특약 가입 650명(65.0%), 선택 안함 143명(14.3%), 특약 없음 207명(20.7%)을 구분했습니다.</x:v>
      </x:c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24" customHeight="1">
      <x:c r="A41" s="2" t="str">
        <x:v>특약 가능 3개 상품 고객 793명 중 가입자는 650명(82.0%)입니다. 전체 고객 기준 65.0%와 분모가 다릅니다.</x:v>
      </x:c>
      <x:c r="B41" s="2"/>
      <x:c r="C41" s="2"/>
      <x:c r="D41" s="2"/>
      <x:c r="E41" s="2"/>
      <x:c r="F41" s="2"/>
      <x:c r="G41" s="2"/>
      <x:c r="H41" s="2"/>
      <x:c r="I41" s="2"/>
      <x:c r="J41" s="2"/>
    </x:row>
    <x:row r="42" ht="24" customHeight="1">
      <x:c r="A42" s="2" t="str">
        <x:v>이는 생성 코드가 설정한 확률의 결과이며 실제 고객의 선호도·인과관계·가입 권고를 뜻하지 않습니다.</x:v>
      </x:c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4" customHeight="1">
      <x:c r="A43" s="2" t="str">
        <x:v>원본 값이 모두 같은 중복 15행은 보존했습니다. 결측 셀과 생성 코드상 상품·특약 조합 불일치는 없습니다.</x:v>
      </x:c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4" customHeight="1">
      <x:c r="A44" s="2" t="str">
        <x:v>고객데이터 시트에서 머리글 필터로 조건을 조합하고 정렬할 수 있습니다. 집계 시트는 전체 표본 기준입니다.</x:v>
      </x:c>
      <x:c r="B44" s="2"/>
      <x:c r="C44" s="2"/>
      <x:c r="D44" s="2"/>
      <x:c r="E44" s="2"/>
      <x:c r="F44" s="2"/>
      <x:c r="G44" s="2"/>
      <x:c r="H44" s="2"/>
      <x:c r="I44" s="2"/>
      <x:c r="J44" s="2"/>
    </x:row>
    <x:row r="45" ht="24" customHeight="1">
      <x:c r="A45" s="2" t="str">
        <x:v>6가지 정렬 CSV는 같은 고객 1,000행을 각각 정렬한 파일입니다. 서로 합산하지 않습니다.</x:v>
      </x:c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</x:sheetData>
  <x:pageMargins left="0.7" right="0.7" top="0.75" bottom="0.75" header="0.3" footer="0.3"/>
  <x:drawing xmlns:r="http://schemas.openxmlformats.org/officeDocument/2006/relationships" r:id="Ree280448ac6e437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7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항목별 고객 분포</x:v>
      </x:c>
      <x:c r="B2" s="5"/>
      <x:c r="C2" s="5"/>
      <x:c r="D2" s="5"/>
      <x:c r="E2" s="5"/>
      <x:c r="F2" s="5"/>
      <x:c r="G2" s="5"/>
      <x:c r="H2" s="5"/>
    </x:row>
    <x:row r="3" ht="24" customHeight="1">
      <x:c r="A3" s="2" t="str">
        <x:v>비중은 전체 고객 대비. 특약가입률은 해당 분류 고객 대비. 평균 연소득 단위는 만원.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13" t="str">
        <x:v>연령대</x:v>
      </x:c>
      <x:c r="B5" s="2"/>
      <x:c r="C5" s="2"/>
      <x:c r="D5" s="2"/>
      <x:c r="E5" s="2"/>
      <x:c r="F5" s="2"/>
      <x:c r="G5" s="2"/>
      <x:c r="H5" s="2"/>
    </x:row>
    <x:row r="6" ht="36" customHeight="1">
      <x:c r="A6" s="11" t="str">
        <x:v>분류값</x:v>
      </x:c>
      <x:c r="B6" s="11" t="str">
        <x:v>고객수(명)</x:v>
      </x:c>
      <x:c r="C6" s="11" t="str">
        <x:v>전체비중</x:v>
      </x:c>
      <x:c r="D6" s="11" t="str">
        <x:v>평균나이(세)</x:v>
      </x:c>
      <x:c r="E6" s="11" t="str">
        <x:v>평균연소득(만원)</x:v>
      </x:c>
      <x:c r="F6" s="11" t="str">
        <x:v>특약가입(명)</x:v>
      </x:c>
      <x:c r="G6" s="11" t="str">
        <x:v>특약가입률</x:v>
      </x:c>
      <x:c r="H6" s="11" t="str">
        <x:v>흡연률</x:v>
      </x:c>
    </x:row>
    <x:row r="7" ht="25" customHeight="1">
      <x:c r="A7" s="12" t="str">
        <x:v>20대</x:v>
      </x:c>
      <x:c r="B7" s="19" t="n">
        <x:f>COUNTIFS('고객데이터'!$C$5:$C$1004,A7)</x:f>
        <x:v>220</x:v>
      </x:c>
      <x:c r="C7" s="15" t="n">
        <x:f>B7/COUNTA('고객데이터'!$A$5:$A$1004)</x:f>
        <x:v>0.22</x:v>
      </x:c>
      <x:c r="D7" s="17" t="n">
        <x:f>AVERAGEIFS('고객데이터'!$B$5:$B$1004,'고객데이터'!$C$5:$C$1004,A7)</x:f>
        <x:v>24.2</x:v>
      </x:c>
      <x:c r="E7" s="17" t="n">
        <x:f>AVERAGEIFS('고객데이터'!$E$5:$E$1004,'고객데이터'!$C$5:$C$1004,A7)</x:f>
        <x:v>5070.454545454545</x:v>
      </x:c>
      <x:c r="F7" s="19" t="n">
        <x:f>COUNTIFS('고객데이터'!$C$5:$C$1004,A7,'고객데이터'!$P$5:$P$1004,"가입")</x:f>
        <x:v>109</x:v>
      </x:c>
      <x:c r="G7" s="15" t="n">
        <x:f>IF(B7=0,"n.a.",F7/B7)</x:f>
        <x:v>0.4954545454545455</x:v>
      </x:c>
      <x:c r="H7" s="15" t="n">
        <x:f>IF(B7=0,"n.a.",COUNTIFS('고객데이터'!$C$5:$C$1004,A7,'고객데이터'!$J$5:$J$1004,"흡연")/B7)</x:f>
        <x:v>0.22727272727272727</x:v>
      </x:c>
    </x:row>
    <x:row r="8" ht="25" customHeight="1">
      <x:c r="A8" s="2" t="str">
        <x:v>30대</x:v>
      </x:c>
      <x:c r="B8" s="7" t="n">
        <x:f>COUNTIFS('고객데이터'!$C$5:$C$1004,A8)</x:f>
        <x:v>202</x:v>
      </x:c>
      <x:c r="C8" s="16" t="n">
        <x:f>B8/COUNTA('고객데이터'!$A$5:$A$1004)</x:f>
        <x:v>0.202</x:v>
      </x:c>
      <x:c r="D8" s="18" t="n">
        <x:f>AVERAGEIFS('고객데이터'!$B$5:$B$1004,'고객데이터'!$C$5:$C$1004,A8)</x:f>
        <x:v>34.37128712871287</x:v>
      </x:c>
      <x:c r="E8" s="18" t="n">
        <x:f>AVERAGEIFS('고객데이터'!$E$5:$E$1004,'고객데이터'!$C$5:$C$1004,A8)</x:f>
        <x:v>5259.9009900990095</x:v>
      </x:c>
      <x:c r="F8" s="7" t="n">
        <x:f>COUNTIFS('고객데이터'!$C$5:$C$1004,A8,'고객데이터'!$P$5:$P$1004,"가입")</x:f>
        <x:v>148</x:v>
      </x:c>
      <x:c r="G8" s="16" t="n">
        <x:f>IF(B8=0,"n.a.",F8/B8)</x:f>
        <x:v>0.7326732673267327</x:v>
      </x:c>
      <x:c r="H8" s="16" t="n">
        <x:f>IF(B8=0,"n.a.",COUNTIFS('고객데이터'!$C$5:$C$1004,A8,'고객데이터'!$J$5:$J$1004,"흡연")/B8)</x:f>
        <x:v>0.22772277227722773</x:v>
      </x:c>
    </x:row>
    <x:row r="9" ht="25" customHeight="1">
      <x:c r="A9" s="12" t="str">
        <x:v>40대</x:v>
      </x:c>
      <x:c r="B9" s="19" t="n">
        <x:f>COUNTIFS('고객데이터'!$C$5:$C$1004,A9)</x:f>
        <x:v>235</x:v>
      </x:c>
      <x:c r="C9" s="15" t="n">
        <x:f>B9/COUNTA('고객데이터'!$A$5:$A$1004)</x:f>
        <x:v>0.235</x:v>
      </x:c>
      <x:c r="D9" s="17" t="n">
        <x:f>AVERAGEIFS('고객데이터'!$B$5:$B$1004,'고객데이터'!$C$5:$C$1004,A9)</x:f>
        <x:v>44.53191489361702</x:v>
      </x:c>
      <x:c r="E9" s="17" t="n">
        <x:f>AVERAGEIFS('고객데이터'!$E$5:$E$1004,'고객데이터'!$C$5:$C$1004,A9)</x:f>
        <x:v>5317.021276595745</x:v>
      </x:c>
      <x:c r="F9" s="19" t="n">
        <x:f>COUNTIFS('고객데이터'!$C$5:$C$1004,A9,'고객데이터'!$P$5:$P$1004,"가입")</x:f>
        <x:v>169</x:v>
      </x:c>
      <x:c r="G9" s="15" t="n">
        <x:f>IF(B9=0,"n.a.",F9/B9)</x:f>
        <x:v>0.7191489361702128</x:v>
      </x:c>
      <x:c r="H9" s="15" t="n">
        <x:f>IF(B9=0,"n.a.",COUNTIFS('고객데이터'!$C$5:$C$1004,A9,'고객데이터'!$J$5:$J$1004,"흡연")/B9)</x:f>
        <x:v>0.2170212765957447</x:v>
      </x:c>
    </x:row>
    <x:row r="10" ht="25" customHeight="1">
      <x:c r="A10" s="2" t="str">
        <x:v>50대</x:v>
      </x:c>
      <x:c r="B10" s="7" t="n">
        <x:f>COUNTIFS('고객데이터'!$C$5:$C$1004,A10)</x:f>
        <x:v>234</x:v>
      </x:c>
      <x:c r="C10" s="16" t="n">
        <x:f>B10/COUNTA('고객데이터'!$A$5:$A$1004)</x:f>
        <x:v>0.234</x:v>
      </x:c>
      <x:c r="D10" s="18" t="n">
        <x:f>AVERAGEIFS('고객데이터'!$B$5:$B$1004,'고객데이터'!$C$5:$C$1004,A10)</x:f>
        <x:v>54.44017094017094</x:v>
      </x:c>
      <x:c r="E10" s="18" t="n">
        <x:f>AVERAGEIFS('고객데이터'!$E$5:$E$1004,'고객데이터'!$C$5:$C$1004,A10)</x:f>
        <x:v>5463.675213675214</x:v>
      </x:c>
      <x:c r="F10" s="7" t="n">
        <x:f>COUNTIFS('고객데이터'!$C$5:$C$1004,A10,'고객데이터'!$P$5:$P$1004,"가입")</x:f>
        <x:v>162</x:v>
      </x:c>
      <x:c r="G10" s="16" t="n">
        <x:f>IF(B10=0,"n.a.",F10/B10)</x:f>
        <x:v>0.6923076923076923</x:v>
      </x:c>
      <x:c r="H10" s="16" t="n">
        <x:f>IF(B10=0,"n.a.",COUNTIFS('고객데이터'!$C$5:$C$1004,A10,'고객데이터'!$J$5:$J$1004,"흡연")/B10)</x:f>
        <x:v>0.26495726495726496</x:v>
      </x:c>
    </x:row>
    <x:row r="11" ht="25" customHeight="1">
      <x:c r="A11" s="12" t="str">
        <x:v>60대</x:v>
      </x:c>
      <x:c r="B11" s="19" t="n">
        <x:f>COUNTIFS('고객데이터'!$C$5:$C$1004,A11)</x:f>
        <x:v>109</x:v>
      </x:c>
      <x:c r="C11" s="15" t="n">
        <x:f>B11/COUNTA('고객데이터'!$A$5:$A$1004)</x:f>
        <x:v>0.109</x:v>
      </x:c>
      <x:c r="D11" s="17" t="n">
        <x:f>AVERAGEIFS('고객데이터'!$B$5:$B$1004,'고객데이터'!$C$5:$C$1004,A11)</x:f>
        <x:v>62.55045871559633</x:v>
      </x:c>
      <x:c r="E11" s="17" t="n">
        <x:f>AVERAGEIFS('고객데이터'!$E$5:$E$1004,'고객데이터'!$C$5:$C$1004,A11)</x:f>
        <x:v>5137.614678899083</x:v>
      </x:c>
      <x:c r="F11" s="19" t="n">
        <x:f>COUNTIFS('고객데이터'!$C$5:$C$1004,A11,'고객데이터'!$P$5:$P$1004,"가입")</x:f>
        <x:v>62</x:v>
      </x:c>
      <x:c r="G11" s="15" t="n">
        <x:f>IF(B11=0,"n.a.",F11/B11)</x:f>
        <x:v>0.5688073394495413</x:v>
      </x:c>
      <x:c r="H11" s="15" t="n">
        <x:f>IF(B11=0,"n.a.",COUNTIFS('고객데이터'!$C$5:$C$1004,A11,'고객데이터'!$J$5:$J$1004,"흡연")/B11)</x:f>
        <x:v>0.22935779816513763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</x:row>
    <x:row r="14" ht="24" customHeight="1">
      <x:c r="A14" s="13" t="str">
        <x:v>흡연여부</x:v>
      </x:c>
      <x:c r="B14" s="2"/>
      <x:c r="C14" s="2"/>
      <x:c r="D14" s="2"/>
      <x:c r="E14" s="2"/>
      <x:c r="F14" s="2"/>
      <x:c r="G14" s="2"/>
      <x:c r="H14" s="2"/>
    </x:row>
    <x:row r="15" ht="36" customHeight="1">
      <x:c r="A15" s="11" t="str">
        <x:v>분류값</x:v>
      </x:c>
      <x:c r="B15" s="11" t="str">
        <x:v>고객수(명)</x:v>
      </x:c>
      <x:c r="C15" s="11" t="str">
        <x:v>전체비중</x:v>
      </x:c>
      <x:c r="D15" s="11" t="str">
        <x:v>평균나이(세)</x:v>
      </x:c>
      <x:c r="E15" s="11" t="str">
        <x:v>평균연소득(만원)</x:v>
      </x:c>
      <x:c r="F15" s="11" t="str">
        <x:v>특약가입(명)</x:v>
      </x:c>
      <x:c r="G15" s="11" t="str">
        <x:v>특약가입률</x:v>
      </x:c>
      <x:c r="H15" s="11" t="str">
        <x:v>흡연률</x:v>
      </x:c>
    </x:row>
    <x:row r="16" ht="25" customHeight="1">
      <x:c r="A16" s="12" t="str">
        <x:v>비흡연</x:v>
      </x:c>
      <x:c r="B16" s="19" t="n">
        <x:f>COUNTIFS('고객데이터'!$J$5:$J$1004,A16)</x:f>
        <x:v>766</x:v>
      </x:c>
      <x:c r="C16" s="15" t="n">
        <x:f>B16/COUNTA('고객데이터'!$A$5:$A$1004)</x:f>
        <x:v>0.766</x:v>
      </x:c>
      <x:c r="D16" s="17" t="n">
        <x:f>AVERAGEIFS('고객데이터'!$B$5:$B$1004,'고객데이터'!$J$5:$J$1004,A16)</x:f>
        <x:v>42.07180156657964</x:v>
      </x:c>
      <x:c r="E16" s="17" t="n">
        <x:f>AVERAGEIFS('고객데이터'!$E$5:$E$1004,'고객데이터'!$J$5:$J$1004,A16)</x:f>
        <x:v>5240.2088772845955</x:v>
      </x:c>
      <x:c r="F16" s="19" t="n">
        <x:f>COUNTIFS('고객데이터'!$J$5:$J$1004,A16,'고객데이터'!$P$5:$P$1004,"가입")</x:f>
        <x:v>489</x:v>
      </x:c>
      <x:c r="G16" s="15" t="n">
        <x:f>IF(B16=0,"n.a.",F16/B16)</x:f>
        <x:v>0.6383812010443864</x:v>
      </x:c>
      <x:c r="H16" s="15" t="n">
        <x:f>IF(B16=0,"n.a.",COUNTIFS('고객데이터'!$J$5:$J$1004,A16,'고객데이터'!$J$5:$J$1004,"흡연")/B16)</x:f>
        <x:v>0</x:v>
      </x:c>
    </x:row>
    <x:row r="17" ht="25" customHeight="1">
      <x:c r="A17" s="2" t="str">
        <x:v>흡연</x:v>
      </x:c>
      <x:c r="B17" s="7" t="n">
        <x:f>COUNTIFS('고객데이터'!$J$5:$J$1004,A17)</x:f>
        <x:v>234</x:v>
      </x:c>
      <x:c r="C17" s="16" t="n">
        <x:f>B17/COUNTA('고객데이터'!$A$5:$A$1004)</x:f>
        <x:v>0.234</x:v>
      </x:c>
      <x:c r="D17" s="18" t="n">
        <x:f>AVERAGEIFS('고객데이터'!$B$5:$B$1004,'고객데이터'!$J$5:$J$1004,A17)</x:f>
        <x:v>43</x:v>
      </x:c>
      <x:c r="E17" s="18" t="n">
        <x:f>AVERAGEIFS('고객데이터'!$E$5:$E$1004,'고객데이터'!$J$5:$J$1004,A17)</x:f>
        <x:v>5350.427350427351</x:v>
      </x:c>
      <x:c r="F17" s="7" t="n">
        <x:f>COUNTIFS('고객데이터'!$J$5:$J$1004,A17,'고객데이터'!$P$5:$P$1004,"가입")</x:f>
        <x:v>161</x:v>
      </x:c>
      <x:c r="G17" s="16" t="n">
        <x:f>IF(B17=0,"n.a.",F17/B17)</x:f>
        <x:v>0.688034188034188</x:v>
      </x:c>
      <x:c r="H17" s="16" t="n">
        <x:f>IF(B17=0,"n.a.",COUNTIFS('고객데이터'!$J$5:$J$1004,A17,'고객데이터'!$J$5:$J$1004,"흡연")/B17)</x:f>
        <x:v>1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13" t="str">
        <x:v>결혼여부</x:v>
      </x:c>
      <x:c r="B20" s="2"/>
      <x:c r="C20" s="2"/>
      <x:c r="D20" s="2"/>
      <x:c r="E20" s="2"/>
      <x:c r="F20" s="2"/>
      <x:c r="G20" s="2"/>
      <x:c r="H20" s="2"/>
    </x:row>
    <x:row r="21" ht="36" customHeight="1">
      <x:c r="A21" s="11" t="str">
        <x:v>분류값</x:v>
      </x:c>
      <x:c r="B21" s="11" t="str">
        <x:v>고객수(명)</x:v>
      </x:c>
      <x:c r="C21" s="11" t="str">
        <x:v>전체비중</x:v>
      </x:c>
      <x:c r="D21" s="11" t="str">
        <x:v>평균나이(세)</x:v>
      </x:c>
      <x:c r="E21" s="11" t="str">
        <x:v>평균연소득(만원)</x:v>
      </x:c>
      <x:c r="F21" s="11" t="str">
        <x:v>특약가입(명)</x:v>
      </x:c>
      <x:c r="G21" s="11" t="str">
        <x:v>특약가입률</x:v>
      </x:c>
      <x:c r="H21" s="11" t="str">
        <x:v>흡연률</x:v>
      </x:c>
    </x:row>
    <x:row r="22" ht="25" customHeight="1">
      <x:c r="A22" s="12" t="str">
        <x:v>미혼</x:v>
      </x:c>
      <x:c r="B22" s="19" t="n">
        <x:f>COUNTIFS('고객데이터'!$G$5:$G$1004,A22)</x:f>
        <x:v>337</x:v>
      </x:c>
      <x:c r="C22" s="15" t="n">
        <x:f>B22/COUNTA('고객데이터'!$A$5:$A$1004)</x:f>
        <x:v>0.337</x:v>
      </x:c>
      <x:c r="D22" s="17" t="n">
        <x:f>AVERAGEIFS('고객데이터'!$B$5:$B$1004,'고객데이터'!$G$5:$G$1004,A22)</x:f>
        <x:v>32.00890207715133</x:v>
      </x:c>
      <x:c r="E22" s="17" t="n">
        <x:f>AVERAGEIFS('고객데이터'!$E$5:$E$1004,'고객데이터'!$G$5:$G$1004,A22)</x:f>
        <x:v>5169.139465875371</x:v>
      </x:c>
      <x:c r="F22" s="19" t="n">
        <x:f>COUNTIFS('고객데이터'!$G$5:$G$1004,A22,'고객데이터'!$P$5:$P$1004,"가입")</x:f>
        <x:v>164</x:v>
      </x:c>
      <x:c r="G22" s="15" t="n">
        <x:f>IF(B22=0,"n.a.",F22/B22)</x:f>
        <x:v>0.486646884272997</x:v>
      </x:c>
      <x:c r="H22" s="15" t="n">
        <x:f>IF(B22=0,"n.a.",COUNTIFS('고객데이터'!$G$5:$G$1004,A22,'고객데이터'!$J$5:$J$1004,"흡연")/B22)</x:f>
        <x:v>0.2195845697329377</x:v>
      </x:c>
    </x:row>
    <x:row r="23" ht="25" customHeight="1">
      <x:c r="A23" s="2" t="str">
        <x:v>기혼</x:v>
      </x:c>
      <x:c r="B23" s="7" t="n">
        <x:f>COUNTIFS('고객데이터'!$G$5:$G$1004,A23)</x:f>
        <x:v>663</x:v>
      </x:c>
      <x:c r="C23" s="16" t="n">
        <x:f>B23/COUNTA('고객데이터'!$A$5:$A$1004)</x:f>
        <x:v>0.663</x:v>
      </x:c>
      <x:c r="D23" s="18" t="n">
        <x:f>AVERAGEIFS('고객데이터'!$B$5:$B$1004,'고객데이터'!$G$5:$G$1004,A23)</x:f>
        <x:v>47.51432880844646</x:v>
      </x:c>
      <x:c r="E23" s="18" t="n">
        <x:f>AVERAGEIFS('고객데이터'!$E$5:$E$1004,'고객데이터'!$G$5:$G$1004,A23)</x:f>
        <x:v>5315.233785822021</x:v>
      </x:c>
      <x:c r="F23" s="7" t="n">
        <x:f>COUNTIFS('고객데이터'!$G$5:$G$1004,A23,'고객데이터'!$P$5:$P$1004,"가입")</x:f>
        <x:v>486</x:v>
      </x:c>
      <x:c r="G23" s="16" t="n">
        <x:f>IF(B23=0,"n.a.",F23/B23)</x:f>
        <x:v>0.7330316742081447</x:v>
      </x:c>
      <x:c r="H23" s="16" t="n">
        <x:f>IF(B23=0,"n.a.",COUNTIFS('고객데이터'!$G$5:$G$1004,A23,'고객데이터'!$J$5:$J$1004,"흡연")/B23)</x:f>
        <x:v>0.24132730015082957</x:v>
      </x:c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13" t="str">
        <x:v>자녀구간</x:v>
      </x:c>
      <x:c r="B26" s="2"/>
      <x:c r="C26" s="2"/>
      <x:c r="D26" s="2"/>
      <x:c r="E26" s="2"/>
      <x:c r="F26" s="2"/>
      <x:c r="G26" s="2"/>
      <x:c r="H26" s="2"/>
    </x:row>
    <x:row r="27" ht="36" customHeight="1">
      <x:c r="A27" s="11" t="str">
        <x:v>분류값</x:v>
      </x:c>
      <x:c r="B27" s="11" t="str">
        <x:v>고객수(명)</x:v>
      </x:c>
      <x:c r="C27" s="11" t="str">
        <x:v>전체비중</x:v>
      </x:c>
      <x:c r="D27" s="11" t="str">
        <x:v>평균나이(세)</x:v>
      </x:c>
      <x:c r="E27" s="11" t="str">
        <x:v>평균연소득(만원)</x:v>
      </x:c>
      <x:c r="F27" s="11" t="str">
        <x:v>특약가입(명)</x:v>
      </x:c>
      <x:c r="G27" s="11" t="str">
        <x:v>특약가입률</x:v>
      </x:c>
      <x:c r="H27" s="11" t="str">
        <x:v>흡연률</x:v>
      </x:c>
    </x:row>
    <x:row r="28" ht="25" customHeight="1">
      <x:c r="A28" s="12" t="str">
        <x:v>0명</x:v>
      </x:c>
      <x:c r="B28" s="19" t="n">
        <x:f>COUNTIFS('고객데이터'!$I$5:$I$1004,A28)</x:f>
        <x:v>487</x:v>
      </x:c>
      <x:c r="C28" s="15" t="n">
        <x:f>B28/COUNTA('고객데이터'!$A$5:$A$1004)</x:f>
        <x:v>0.487</x:v>
      </x:c>
      <x:c r="D28" s="17" t="n">
        <x:f>AVERAGEIFS('고객데이터'!$B$5:$B$1004,'고객데이터'!$I$5:$I$1004,A28)</x:f>
        <x:v>36.37166324435318</x:v>
      </x:c>
      <x:c r="E28" s="17" t="n">
        <x:f>AVERAGEIFS('고객데이터'!$E$5:$E$1004,'고객데이터'!$I$5:$I$1004,A28)</x:f>
        <x:v>5264.887063655031</x:v>
      </x:c>
      <x:c r="F28" s="19" t="n">
        <x:f>COUNTIFS('고객데이터'!$I$5:$I$1004,A28,'고객데이터'!$P$5:$P$1004,"가입")</x:f>
        <x:v>256</x:v>
      </x:c>
      <x:c r="G28" s="15" t="n">
        <x:f>IF(B28=0,"n.a.",F28/B28)</x:f>
        <x:v>0.5256673511293635</x:v>
      </x:c>
      <x:c r="H28" s="15" t="n">
        <x:f>IF(B28=0,"n.a.",COUNTIFS('고객데이터'!$I$5:$I$1004,A28,'고객데이터'!$J$5:$J$1004,"흡연")/B28)</x:f>
        <x:v>0.22792607802874743</x:v>
      </x:c>
    </x:row>
    <x:row r="29" ht="25" customHeight="1">
      <x:c r="A29" s="2" t="str">
        <x:v>1명</x:v>
      </x:c>
      <x:c r="B29" s="7" t="n">
        <x:f>COUNTIFS('고객데이터'!$I$5:$I$1004,A29)</x:f>
        <x:v>295</x:v>
      </x:c>
      <x:c r="C29" s="16" t="n">
        <x:f>B29/COUNTA('고객데이터'!$A$5:$A$1004)</x:f>
        <x:v>0.295</x:v>
      </x:c>
      <x:c r="D29" s="18" t="n">
        <x:f>AVERAGEIFS('고객데이터'!$B$5:$B$1004,'고객데이터'!$I$5:$I$1004,A29)</x:f>
        <x:v>48.81016949152542</x:v>
      </x:c>
      <x:c r="E29" s="18" t="n">
        <x:f>AVERAGEIFS('고객데이터'!$E$5:$E$1004,'고객데이터'!$I$5:$I$1004,A29)</x:f>
        <x:v>5261.016949152542</x:v>
      </x:c>
      <x:c r="F29" s="7" t="n">
        <x:f>COUNTIFS('고객데이터'!$I$5:$I$1004,A29,'고객데이터'!$P$5:$P$1004,"가입")</x:f>
        <x:v>233</x:v>
      </x:c>
      <x:c r="G29" s="16" t="n">
        <x:f>IF(B29=0,"n.a.",F29/B29)</x:f>
        <x:v>0.7898305084745763</x:v>
      </x:c>
      <x:c r="H29" s="16" t="n">
        <x:f>IF(B29=0,"n.a.",COUNTIFS('고객데이터'!$I$5:$I$1004,A29,'고객데이터'!$J$5:$J$1004,"흡연")/B29)</x:f>
        <x:v>0.2576271186440678</x:v>
      </x:c>
    </x:row>
    <x:row r="30" ht="25" customHeight="1">
      <x:c r="A30" s="12" t="str">
        <x:v>2명</x:v>
      </x:c>
      <x:c r="B30" s="19" t="n">
        <x:f>COUNTIFS('고객데이터'!$I$5:$I$1004,A30)</x:f>
        <x:v>207</x:v>
      </x:c>
      <x:c r="C30" s="15" t="n">
        <x:f>B30/COUNTA('고객데이터'!$A$5:$A$1004)</x:f>
        <x:v>0.207</x:v>
      </x:c>
      <x:c r="D30" s="17" t="n">
        <x:f>AVERAGEIFS('고객데이터'!$B$5:$B$1004,'고객데이터'!$I$5:$I$1004,A30)</x:f>
        <x:v>47.19806763285024</x:v>
      </x:c>
      <x:c r="E30" s="17" t="n">
        <x:f>AVERAGEIFS('고객데이터'!$E$5:$E$1004,'고객데이터'!$I$5:$I$1004,A30)</x:f>
        <x:v>5292.270531400966</x:v>
      </x:c>
      <x:c r="F30" s="19" t="n">
        <x:f>COUNTIFS('고객데이터'!$I$5:$I$1004,A30,'고객데이터'!$P$5:$P$1004,"가입")</x:f>
        <x:v>152</x:v>
      </x:c>
      <x:c r="G30" s="15" t="n">
        <x:f>IF(B30=0,"n.a.",F30/B30)</x:f>
        <x:v>0.7342995169082126</x:v>
      </x:c>
      <x:c r="H30" s="15" t="n">
        <x:f>IF(B30=0,"n.a.",COUNTIFS('고객데이터'!$I$5:$I$1004,A30,'고객데이터'!$J$5:$J$1004,"흡연")/B30)</x:f>
        <x:v>0.20772946859903382</x:v>
      </x:c>
    </x:row>
    <x:row r="31" ht="25" customHeight="1">
      <x:c r="A31" s="2" t="str">
        <x:v>3명 이상</x:v>
      </x:c>
      <x:c r="B31" s="7" t="n">
        <x:f>COUNTIFS('고객데이터'!$I$5:$I$1004,A31)</x:f>
        <x:v>11</x:v>
      </x:c>
      <x:c r="C31" s="16" t="n">
        <x:f>B31/COUNTA('고객데이터'!$A$5:$A$1004)</x:f>
        <x:v>0.011</x:v>
      </x:c>
      <x:c r="D31" s="18" t="n">
        <x:f>AVERAGEIFS('고객데이터'!$B$5:$B$1004,'고객데이터'!$I$5:$I$1004,A31)</x:f>
        <x:v>37</x:v>
      </x:c>
      <x:c r="E31" s="18" t="n">
        <x:f>AVERAGEIFS('고객데이터'!$E$5:$E$1004,'고객데이터'!$I$5:$I$1004,A31)</x:f>
        <x:v>4954.545454545455</x:v>
      </x:c>
      <x:c r="F31" s="7" t="n">
        <x:f>COUNTIFS('고객데이터'!$I$5:$I$1004,A31,'고객데이터'!$P$5:$P$1004,"가입")</x:f>
        <x:v>9</x:v>
      </x:c>
      <x:c r="G31" s="16" t="n">
        <x:f>IF(B31=0,"n.a.",F31/B31)</x:f>
        <x:v>0.8181818181818182</x:v>
      </x:c>
      <x:c r="H31" s="16" t="n">
        <x:f>IF(B31=0,"n.a.",COUNTIFS('고객데이터'!$I$5:$I$1004,A31,'고객데이터'!$J$5:$J$1004,"흡연")/B31)</x:f>
        <x:v>0.36363636363636365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13" t="str">
        <x:v>가입상품</x:v>
      </x:c>
      <x:c r="B34" s="2"/>
      <x:c r="C34" s="2"/>
      <x:c r="D34" s="2"/>
      <x:c r="E34" s="2"/>
      <x:c r="F34" s="2"/>
      <x:c r="G34" s="2"/>
      <x:c r="H34" s="2"/>
    </x:row>
    <x:row r="35" ht="36" customHeight="1">
      <x:c r="A35" s="11" t="str">
        <x:v>분류값</x:v>
      </x:c>
      <x:c r="B35" s="11" t="str">
        <x:v>고객수(명)</x:v>
      </x:c>
      <x:c r="C35" s="11" t="str">
        <x:v>전체비중</x:v>
      </x:c>
      <x:c r="D35" s="11" t="str">
        <x:v>평균나이(세)</x:v>
      </x:c>
      <x:c r="E35" s="11" t="str">
        <x:v>평균연소득(만원)</x:v>
      </x:c>
      <x:c r="F35" s="11" t="str">
        <x:v>특약가입(명)</x:v>
      </x:c>
      <x:c r="G35" s="11" t="str">
        <x:v>특약가입률</x:v>
      </x:c>
      <x:c r="H35" s="11" t="str">
        <x:v>흡연률</x:v>
      </x:c>
    </x:row>
    <x:row r="36" ht="25" customHeight="1">
      <x:c r="A36" s="12" t="str">
        <x:v>수호천사 암/건강보험</x:v>
      </x:c>
      <x:c r="B36" s="19" t="n">
        <x:f>COUNTIFS('고객데이터'!$M$5:$M$1004,A36)</x:f>
        <x:v>330</x:v>
      </x:c>
      <x:c r="C36" s="15" t="n">
        <x:f>B36/COUNTA('고객데이터'!$A$5:$A$1004)</x:f>
        <x:v>0.33</x:v>
      </x:c>
      <x:c r="D36" s="17" t="n">
        <x:f>AVERAGEIFS('고객데이터'!$B$5:$B$1004,'고객데이터'!$M$5:$M$1004,A36)</x:f>
        <x:v>40.46060606060606</x:v>
      </x:c>
      <x:c r="E36" s="17" t="n">
        <x:f>AVERAGEIFS('고객데이터'!$E$5:$E$1004,'고객데이터'!$M$5:$M$1004,A36)</x:f>
        <x:v>5239.393939393939</x:v>
      </x:c>
      <x:c r="F36" s="19" t="n">
        <x:f>COUNTIFS('고객데이터'!$M$5:$M$1004,A36,'고객데이터'!$P$5:$P$1004,"가입")</x:f>
        <x:v>289</x:v>
      </x:c>
      <x:c r="G36" s="15" t="n">
        <x:f>IF(B36=0,"n.a.",F36/B36)</x:f>
        <x:v>0.8757575757575757</x:v>
      </x:c>
      <x:c r="H36" s="15" t="n">
        <x:f>IF(B36=0,"n.a.",COUNTIFS('고객데이터'!$M$5:$M$1004,A36,'고객데이터'!$J$5:$J$1004,"흡연")/B36)</x:f>
        <x:v>0.28484848484848485</x:v>
      </x:c>
    </x:row>
    <x:row r="37" ht="25" customHeight="1">
      <x:c r="A37" s="2" t="str">
        <x:v>수호천사 간편심사(유병자)보험</x:v>
      </x:c>
      <x:c r="B37" s="7" t="n">
        <x:f>COUNTIFS('고객데이터'!$M$5:$M$1004,A37)</x:f>
        <x:v>261</x:v>
      </x:c>
      <x:c r="C37" s="16" t="n">
        <x:f>B37/COUNTA('고객데이터'!$A$5:$A$1004)</x:f>
        <x:v>0.261</x:v>
      </x:c>
      <x:c r="D37" s="18" t="n">
        <x:f>AVERAGEIFS('고객데이터'!$B$5:$B$1004,'고객데이터'!$M$5:$M$1004,A37)</x:f>
        <x:v>47.24904214559387</x:v>
      </x:c>
      <x:c r="E37" s="18" t="n">
        <x:f>AVERAGEIFS('고객데이터'!$E$5:$E$1004,'고객데이터'!$M$5:$M$1004,A37)</x:f>
        <x:v>5222.222222222223</x:v>
      </x:c>
      <x:c r="F37" s="7" t="n">
        <x:f>COUNTIFS('고객데이터'!$M$5:$M$1004,A37,'고객데이터'!$P$5:$P$1004,"가입")</x:f>
        <x:v>212</x:v>
      </x:c>
      <x:c r="G37" s="16" t="n">
        <x:f>IF(B37=0,"n.a.",F37/B37)</x:f>
        <x:v>0.8122605363984674</x:v>
      </x:c>
      <x:c r="H37" s="16" t="n">
        <x:f>IF(B37=0,"n.a.",COUNTIFS('고객데이터'!$M$5:$M$1004,A37,'고객데이터'!$J$5:$J$1004,"흡연")/B37)</x:f>
        <x:v>0.24521072796934865</x:v>
      </x:c>
    </x:row>
    <x:row r="38" ht="25" customHeight="1">
      <x:c r="A38" s="12" t="str">
        <x:v>수호천사 우리가족 종신보험</x:v>
      </x:c>
      <x:c r="B38" s="19" t="n">
        <x:f>COUNTIFS('고객데이터'!$M$5:$M$1004,A38)</x:f>
        <x:v>202</x:v>
      </x:c>
      <x:c r="C38" s="15" t="n">
        <x:f>B38/COUNTA('고객데이터'!$A$5:$A$1004)</x:f>
        <x:v>0.202</x:v>
      </x:c>
      <x:c r="D38" s="17" t="n">
        <x:f>AVERAGEIFS('고객데이터'!$B$5:$B$1004,'고객데이터'!$M$5:$M$1004,A38)</x:f>
        <x:v>40.272277227722775</x:v>
      </x:c>
      <x:c r="E38" s="17" t="n">
        <x:f>AVERAGEIFS('고객데이터'!$E$5:$E$1004,'고객데이터'!$M$5:$M$1004,A38)</x:f>
        <x:v>5188.118811881188</x:v>
      </x:c>
      <x:c r="F38" s="19" t="n">
        <x:f>COUNTIFS('고객데이터'!$M$5:$M$1004,A38,'고객데이터'!$P$5:$P$1004,"가입")</x:f>
        <x:v>149</x:v>
      </x:c>
      <x:c r="G38" s="15" t="n">
        <x:f>IF(B38=0,"n.a.",F38/B38)</x:f>
        <x:v>0.7376237623762376</x:v>
      </x:c>
      <x:c r="H38" s="15" t="n">
        <x:f>IF(B38=0,"n.a.",COUNTIFS('고객데이터'!$M$5:$M$1004,A38,'고객데이터'!$J$5:$J$1004,"흡연")/B38)</x:f>
        <x:v>0.19801980198019803</x:v>
      </x:c>
    </x:row>
    <x:row r="39" ht="25" customHeight="1">
      <x:c r="A39" s="2" t="str">
        <x:v>수호천사 행복 연금보험</x:v>
      </x:c>
      <x:c r="B39" s="7" t="n">
        <x:f>COUNTIFS('고객데이터'!$M$5:$M$1004,A39)</x:f>
        <x:v>207</x:v>
      </x:c>
      <x:c r="C39" s="16" t="n">
        <x:f>B39/COUNTA('고객데이터'!$A$5:$A$1004)</x:f>
        <x:v>0.207</x:v>
      </x:c>
      <x:c r="D39" s="18" t="n">
        <x:f>AVERAGEIFS('고객데이터'!$B$5:$B$1004,'고객데이터'!$M$5:$M$1004,A39)</x:f>
        <x:v>40.91787439613527</x:v>
      </x:c>
      <x:c r="E39" s="18" t="n">
        <x:f>AVERAGEIFS('고객데이터'!$E$5:$E$1004,'고객데이터'!$M$5:$M$1004,A39)</x:f>
        <x:v>5439.613526570049</x:v>
      </x:c>
      <x:c r="F39" s="7" t="n">
        <x:f>COUNTIFS('고객데이터'!$M$5:$M$1004,A39,'고객데이터'!$P$5:$P$1004,"가입")</x:f>
        <x:v>0</x:v>
      </x:c>
      <x:c r="G39" s="16" t="n">
        <x:f>IF(B39=0,"n.a.",F39/B39)</x:f>
        <x:v>0</x:v>
      </x:c>
      <x:c r="H39" s="16" t="n">
        <x:f>IF(B39=0,"n.a.",COUNTIFS('고객데이터'!$M$5:$M$1004,A39,'고객데이터'!$J$5:$J$1004,"흡연")/B39)</x:f>
        <x:v>0.17391304347826086</x:v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13" t="str">
        <x:v>특약상태</x:v>
      </x:c>
      <x:c r="B42" s="2"/>
      <x:c r="C42" s="2"/>
      <x:c r="D42" s="2"/>
      <x:c r="E42" s="2"/>
      <x:c r="F42" s="2"/>
      <x:c r="G42" s="2"/>
      <x:c r="H42" s="2"/>
    </x:row>
    <x:row r="43" ht="36" customHeight="1">
      <x:c r="A43" s="11" t="str">
        <x:v>분류값</x:v>
      </x:c>
      <x:c r="B43" s="11" t="str">
        <x:v>고객수(명)</x:v>
      </x:c>
      <x:c r="C43" s="11" t="str">
        <x:v>전체비중</x:v>
      </x:c>
      <x:c r="D43" s="11" t="str">
        <x:v>평균나이(세)</x:v>
      </x:c>
      <x:c r="E43" s="11" t="str">
        <x:v>평균연소득(만원)</x:v>
      </x:c>
      <x:c r="F43" s="11" t="str">
        <x:v>특약가입(명)</x:v>
      </x:c>
      <x:c r="G43" s="11" t="str">
        <x:v>특약가입률</x:v>
      </x:c>
      <x:c r="H43" s="11" t="str">
        <x:v>흡연률</x:v>
      </x:c>
    </x:row>
    <x:row r="44" ht="25" customHeight="1">
      <x:c r="A44" s="12" t="str">
        <x:v>가입</x:v>
      </x:c>
      <x:c r="B44" s="19" t="n">
        <x:f>COUNTIFS('고객데이터'!$P$5:$P$1004,A44)</x:f>
        <x:v>650</x:v>
      </x:c>
      <x:c r="C44" s="15" t="n">
        <x:f>B44/COUNTA('고객데이터'!$A$5:$A$1004)</x:f>
        <x:v>0.65</x:v>
      </x:c>
      <x:c r="D44" s="17" t="n">
        <x:f>AVERAGEIFS('고객데이터'!$B$5:$B$1004,'고객데이터'!$P$5:$P$1004,A44)</x:f>
        <x:v>42.95846153846154</x:v>
      </x:c>
      <x:c r="E44" s="17" t="n">
        <x:f>AVERAGEIFS('고객데이터'!$E$5:$E$1004,'고객데이터'!$P$5:$P$1004,A44)</x:f>
        <x:v>5284.615384615385</x:v>
      </x:c>
      <x:c r="F44" s="19" t="n">
        <x:f>COUNTIFS('고객데이터'!$P$5:$P$1004,A44,'고객데이터'!$P$5:$P$1004,"가입")</x:f>
        <x:v>650</x:v>
      </x:c>
      <x:c r="G44" s="15" t="n">
        <x:f>IF(B44=0,"n.a.",F44/B44)</x:f>
        <x:v>1</x:v>
      </x:c>
      <x:c r="H44" s="15" t="n">
        <x:f>IF(B44=0,"n.a.",COUNTIFS('고객데이터'!$P$5:$P$1004,A44,'고객데이터'!$J$5:$J$1004,"흡연")/B44)</x:f>
        <x:v>0.24769230769230768</x:v>
      </x:c>
    </x:row>
    <x:row r="45" ht="25" customHeight="1">
      <x:c r="A45" s="2" t="str">
        <x:v>선택 안함</x:v>
      </x:c>
      <x:c r="B45" s="7" t="n">
        <x:f>COUNTIFS('고객데이터'!$P$5:$P$1004,A45)</x:f>
        <x:v>143</x:v>
      </x:c>
      <x:c r="C45" s="16" t="n">
        <x:f>B45/COUNTA('고객데이터'!$A$5:$A$1004)</x:f>
        <x:v>0.143</x:v>
      </x:c>
      <x:c r="D45" s="18" t="n">
        <x:f>AVERAGEIFS('고객데이터'!$B$5:$B$1004,'고객데이터'!$P$5:$P$1004,A45)</x:f>
        <x:v>41.23076923076923</x:v>
      </x:c>
      <x:c r="E45" s="18" t="n">
        <x:f>AVERAGEIFS('고객데이터'!$E$5:$E$1004,'고객데이터'!$P$5:$P$1004,A45)</x:f>
        <x:v>4930.06993006993</x:v>
      </x:c>
      <x:c r="F45" s="7" t="n">
        <x:f>COUNTIFS('고객데이터'!$P$5:$P$1004,A45,'고객데이터'!$P$5:$P$1004,"가입")</x:f>
        <x:v>0</x:v>
      </x:c>
      <x:c r="G45" s="16" t="n">
        <x:f>IF(B45=0,"n.a.",F45/B45)</x:f>
        <x:v>0</x:v>
      </x:c>
      <x:c r="H45" s="16" t="n">
        <x:f>IF(B45=0,"n.a.",COUNTIFS('고객데이터'!$P$5:$P$1004,A45,'고객데이터'!$J$5:$J$1004,"흡연")/B45)</x:f>
        <x:v>0.25874125874125875</x:v>
      </x:c>
    </x:row>
    <x:row r="46" ht="25" customHeight="1">
      <x:c r="A46" s="12" t="str">
        <x:v>특약 없음</x:v>
      </x:c>
      <x:c r="B46" s="19" t="n">
        <x:f>COUNTIFS('고객데이터'!$P$5:$P$1004,A46)</x:f>
        <x:v>207</x:v>
      </x:c>
      <x:c r="C46" s="15" t="n">
        <x:f>B46/COUNTA('고객데이터'!$A$5:$A$1004)</x:f>
        <x:v>0.207</x:v>
      </x:c>
      <x:c r="D46" s="17" t="n">
        <x:f>AVERAGEIFS('고객데이터'!$B$5:$B$1004,'고객데이터'!$P$5:$P$1004,A46)</x:f>
        <x:v>40.91787439613527</x:v>
      </x:c>
      <x:c r="E46" s="17" t="n">
        <x:f>AVERAGEIFS('고객데이터'!$E$5:$E$1004,'고객데이터'!$P$5:$P$1004,A46)</x:f>
        <x:v>5439.613526570049</x:v>
      </x:c>
      <x:c r="F46" s="19" t="n">
        <x:f>COUNTIFS('고객데이터'!$P$5:$P$1004,A46,'고객데이터'!$P$5:$P$1004,"가입")</x:f>
        <x:v>0</x:v>
      </x:c>
      <x:c r="G46" s="15" t="n">
        <x:f>IF(B46=0,"n.a.",F46/B46)</x:f>
        <x:v>0</x:v>
      </x:c>
      <x:c r="H46" s="15" t="n">
        <x:f>IF(B46=0,"n.a.",COUNTIFS('고객데이터'!$P$5:$P$1004,A46,'고객데이터'!$J$5:$J$1004,"흡연")/B46)</x:f>
        <x:v>0.17391304347826086</x:v>
      </x:c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13" t="str">
        <x:v>가입특약</x:v>
      </x:c>
      <x:c r="B49" s="2"/>
      <x:c r="C49" s="2"/>
      <x:c r="D49" s="2"/>
      <x:c r="E49" s="2"/>
      <x:c r="F49" s="2"/>
      <x:c r="G49" s="2"/>
      <x:c r="H49" s="2"/>
    </x:row>
    <x:row r="50" ht="36" customHeight="1">
      <x:c r="A50" s="11" t="str">
        <x:v>분류값</x:v>
      </x:c>
      <x:c r="B50" s="11" t="str">
        <x:v>고객수(명)</x:v>
      </x:c>
      <x:c r="C50" s="11" t="str">
        <x:v>전체비중</x:v>
      </x:c>
      <x:c r="D50" s="11" t="str">
        <x:v>평균나이(세)</x:v>
      </x:c>
      <x:c r="E50" s="11" t="str">
        <x:v>평균연소득(만원)</x:v>
      </x:c>
      <x:c r="F50" s="11" t="str">
        <x:v>특약가입(명)</x:v>
      </x:c>
      <x:c r="G50" s="11" t="str">
        <x:v>특약가입률</x:v>
      </x:c>
      <x:c r="H50" s="11" t="str">
        <x:v>흡연률</x:v>
      </x:c>
    </x:row>
    <x:row r="51" ht="25" customHeight="1">
      <x:c r="A51" s="12" t="str">
        <x:v>가족 수입 보장 특약</x:v>
      </x:c>
      <x:c r="B51" s="19" t="n">
        <x:f>COUNTIFS('고객데이터'!$O$5:$O$1004,A51)</x:f>
        <x:v>149</x:v>
      </x:c>
      <x:c r="C51" s="15" t="n">
        <x:f>B51/COUNTA('고객데이터'!$A$5:$A$1004)</x:f>
        <x:v>0.149</x:v>
      </x:c>
      <x:c r="D51" s="17" t="n">
        <x:f>AVERAGEIFS('고객데이터'!$B$5:$B$1004,'고객데이터'!$O$5:$O$1004,A51)</x:f>
        <x:v>41.88590604026846</x:v>
      </x:c>
      <x:c r="E51" s="17" t="n">
        <x:f>AVERAGEIFS('고객데이터'!$E$5:$E$1004,'고객데이터'!$O$5:$O$1004,A51)</x:f>
        <x:v>5416.107382550335</x:v>
      </x:c>
      <x:c r="F51" s="19" t="n">
        <x:f>COUNTIFS('고객데이터'!$O$5:$O$1004,A51,'고객데이터'!$P$5:$P$1004,"가입")</x:f>
        <x:v>149</x:v>
      </x:c>
      <x:c r="G51" s="15" t="n">
        <x:f>IF(B51=0,"n.a.",F51/B51)</x:f>
        <x:v>1</x:v>
      </x:c>
      <x:c r="H51" s="15" t="n">
        <x:f>IF(B51=0,"n.a.",COUNTIFS('고객데이터'!$O$5:$O$1004,A51,'고객데이터'!$J$5:$J$1004,"흡연")/B51)</x:f>
        <x:v>0.18791946308724833</x:v>
      </x:c>
    </x:row>
    <x:row r="52" ht="25" customHeight="1">
      <x:c r="A52" s="2" t="str">
        <x:v>수술비 보장 특약</x:v>
      </x:c>
      <x:c r="B52" s="7" t="n">
        <x:f>COUNTIFS('고객데이터'!$O$5:$O$1004,A52)</x:f>
        <x:v>106</x:v>
      </x:c>
      <x:c r="C52" s="16" t="n">
        <x:f>B52/COUNTA('고객데이터'!$A$5:$A$1004)</x:f>
        <x:v>0.106</x:v>
      </x:c>
      <x:c r="D52" s="18" t="n">
        <x:f>AVERAGEIFS('고객데이터'!$B$5:$B$1004,'고객데이터'!$O$5:$O$1004,A52)</x:f>
        <x:v>34.594339622641506</x:v>
      </x:c>
      <x:c r="E52" s="18" t="n">
        <x:f>AVERAGEIFS('고객데이터'!$E$5:$E$1004,'고객데이터'!$O$5:$O$1004,A52)</x:f>
        <x:v>4919.811320754717</x:v>
      </x:c>
      <x:c r="F52" s="7" t="n">
        <x:f>COUNTIFS('고객데이터'!$O$5:$O$1004,A52,'고객데이터'!$P$5:$P$1004,"가입")</x:f>
        <x:v>106</x:v>
      </x:c>
      <x:c r="G52" s="16" t="n">
        <x:f>IF(B52=0,"n.a.",F52/B52)</x:f>
        <x:v>1</x:v>
      </x:c>
      <x:c r="H52" s="16" t="n">
        <x:f>IF(B52=0,"n.a.",COUNTIFS('고객데이터'!$O$5:$O$1004,A52,'고객데이터'!$J$5:$J$1004,"흡연")/B52)</x:f>
        <x:v>0.3018867924528302</x:v>
      </x:c>
    </x:row>
    <x:row r="53" ht="25" customHeight="1">
      <x:c r="A53" s="12" t="str">
        <x:v>중증질환 산정특례 보장 특약</x:v>
      </x:c>
      <x:c r="B53" s="19" t="n">
        <x:f>COUNTIFS('고객데이터'!$O$5:$O$1004,A53)</x:f>
        <x:v>212</x:v>
      </x:c>
      <x:c r="C53" s="15" t="n">
        <x:f>B53/COUNTA('고객데이터'!$A$5:$A$1004)</x:f>
        <x:v>0.212</x:v>
      </x:c>
      <x:c r="D53" s="17" t="n">
        <x:f>AVERAGEIFS('고객데이터'!$B$5:$B$1004,'고객데이터'!$O$5:$O$1004,A53)</x:f>
        <x:v>47.06132075471698</x:v>
      </x:c>
      <x:c r="E53" s="17" t="n">
        <x:f>AVERAGEIFS('고객데이터'!$E$5:$E$1004,'고객데이터'!$O$5:$O$1004,A53)</x:f>
        <x:v>5188.679245283019</x:v>
      </x:c>
      <x:c r="F53" s="19" t="n">
        <x:f>COUNTIFS('고객데이터'!$O$5:$O$1004,A53,'고객데이터'!$P$5:$P$1004,"가입")</x:f>
        <x:v>212</x:v>
      </x:c>
      <x:c r="G53" s="15" t="n">
        <x:f>IF(B53=0,"n.a.",F53/B53)</x:f>
        <x:v>1</x:v>
      </x:c>
      <x:c r="H53" s="15" t="n">
        <x:f>IF(B53=0,"n.a.",COUNTIFS('고객데이터'!$O$5:$O$1004,A53,'고객데이터'!$J$5:$J$1004,"흡연")/B53)</x:f>
        <x:v>0.25</x:v>
      </x:c>
    </x:row>
    <x:row r="54" ht="25" customHeight="1">
      <x:c r="A54" s="2" t="str">
        <x:v>표적항암약물허가치료 특약</x:v>
      </x:c>
      <x:c r="B54" s="7" t="n">
        <x:f>COUNTIFS('고객데이터'!$O$5:$O$1004,A54)</x:f>
        <x:v>183</x:v>
      </x:c>
      <x:c r="C54" s="16" t="n">
        <x:f>B54/COUNTA('고객데이터'!$A$5:$A$1004)</x:f>
        <x:v>0.183</x:v>
      </x:c>
      <x:c r="D54" s="18" t="n">
        <x:f>AVERAGEIFS('고객데이터'!$B$5:$B$1004,'고객데이터'!$O$5:$O$1004,A54)</x:f>
        <x:v>43.923497267759565</x:v>
      </x:c>
      <x:c r="E54" s="18" t="n">
        <x:f>AVERAGEIFS('고객데이터'!$E$5:$E$1004,'고객데이터'!$O$5:$O$1004,A54)</x:f>
        <x:v>5500</x:v>
      </x:c>
      <x:c r="F54" s="7" t="n">
        <x:f>COUNTIFS('고객데이터'!$O$5:$O$1004,A54,'고객데이터'!$P$5:$P$1004,"가입")</x:f>
        <x:v>183</x:v>
      </x:c>
      <x:c r="G54" s="16" t="n">
        <x:f>IF(B54=0,"n.a.",F54/B54)</x:f>
        <x:v>1</x:v>
      </x:c>
      <x:c r="H54" s="16" t="n">
        <x:f>IF(B54=0,"n.a.",COUNTIFS('고객데이터'!$O$5:$O$1004,A54,'고객데이터'!$J$5:$J$1004,"흡연")/B54)</x:f>
        <x:v>0.26229508196721313</x:v>
      </x:c>
    </x:row>
    <x:row r="55" ht="25" customHeight="1">
      <x:c r="A55" s="12" t="str">
        <x:v>선택 안함</x:v>
      </x:c>
      <x:c r="B55" s="19" t="n">
        <x:f>COUNTIFS('고객데이터'!$O$5:$O$1004,A55)</x:f>
        <x:v>143</x:v>
      </x:c>
      <x:c r="C55" s="15" t="n">
        <x:f>B55/COUNTA('고객데이터'!$A$5:$A$1004)</x:f>
        <x:v>0.143</x:v>
      </x:c>
      <x:c r="D55" s="17" t="n">
        <x:f>AVERAGEIFS('고객데이터'!$B$5:$B$1004,'고객데이터'!$O$5:$O$1004,A55)</x:f>
        <x:v>41.23076923076923</x:v>
      </x:c>
      <x:c r="E55" s="17" t="n">
        <x:f>AVERAGEIFS('고객데이터'!$E$5:$E$1004,'고객데이터'!$O$5:$O$1004,A55)</x:f>
        <x:v>4930.06993006993</x:v>
      </x:c>
      <x:c r="F55" s="19" t="n">
        <x:f>COUNTIFS('고객데이터'!$O$5:$O$1004,A55,'고객데이터'!$P$5:$P$1004,"가입")</x:f>
        <x:v>0</x:v>
      </x:c>
      <x:c r="G55" s="15" t="n">
        <x:f>IF(B55=0,"n.a.",F55/B55)</x:f>
        <x:v>0</x:v>
      </x:c>
      <x:c r="H55" s="15" t="n">
        <x:f>IF(B55=0,"n.a.",COUNTIFS('고객데이터'!$O$5:$O$1004,A55,'고객데이터'!$J$5:$J$1004,"흡연")/B55)</x:f>
        <x:v>0.25874125874125875</x:v>
      </x:c>
    </x:row>
    <x:row r="56" ht="25" customHeight="1">
      <x:c r="A56" s="2" t="str">
        <x:v>특약 없음</x:v>
      </x:c>
      <x:c r="B56" s="7" t="n">
        <x:f>COUNTIFS('고객데이터'!$O$5:$O$1004,A56)</x:f>
        <x:v>207</x:v>
      </x:c>
      <x:c r="C56" s="16" t="n">
        <x:f>B56/COUNTA('고객데이터'!$A$5:$A$1004)</x:f>
        <x:v>0.207</x:v>
      </x:c>
      <x:c r="D56" s="18" t="n">
        <x:f>AVERAGEIFS('고객데이터'!$B$5:$B$1004,'고객데이터'!$O$5:$O$1004,A56)</x:f>
        <x:v>40.91787439613527</x:v>
      </x:c>
      <x:c r="E56" s="18" t="n">
        <x:f>AVERAGEIFS('고객데이터'!$E$5:$E$1004,'고객데이터'!$O$5:$O$1004,A56)</x:f>
        <x:v>5439.613526570049</x:v>
      </x:c>
      <x:c r="F56" s="7" t="n">
        <x:f>COUNTIFS('고객데이터'!$O$5:$O$1004,A56,'고객데이터'!$P$5:$P$1004,"가입")</x:f>
        <x:v>0</x:v>
      </x:c>
      <x:c r="G56" s="16" t="n">
        <x:f>IF(B56=0,"n.a.",F56/B56)</x:f>
        <x:v>0</x:v>
      </x:c>
      <x:c r="H56" s="16" t="n">
        <x:f>IF(B56=0,"n.a.",COUNTIFS('고객데이터'!$O$5:$O$1004,A56,'고객데이터'!$J$5:$J$1004,"흡연")/B56)</x:f>
        <x:v>0.17391304347826086</x:v>
      </x:c>
    </x:row>
    <x:row r="57" ht="24" customHeight="1">
      <x:c r="A57" s="2"/>
      <x:c r="B57" s="2"/>
      <x:c r="C57" s="2"/>
      <x:c r="D57" s="2"/>
      <x:c r="E57" s="2"/>
      <x:c r="F57" s="2"/>
      <x:c r="G57" s="2"/>
      <x:c r="H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32" customHeight="1">
      <x:c r="A2" s="4" t="str">
        <x:v>고객 특성별 가입상품</x:v>
      </x:c>
      <x:c r="B2" s="5"/>
      <x:c r="C2" s="5"/>
      <x:c r="D2" s="5"/>
      <x:c r="E2" s="5"/>
      <x:c r="F2" s="5"/>
    </x:row>
    <x:row r="3" ht="24" customHeight="1">
      <x:c r="A3" s="2" t="str">
        <x:v>각 분류의 고객수를 분모로 비중을 계산. 합계는 1,000명. 표본이 작은 자녀 3명 이상은 11명.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13" t="str">
        <x:v>연령대별 고객수 (명)</x:v>
      </x:c>
      <x:c r="B5" s="2"/>
      <x:c r="C5" s="2"/>
      <x:c r="D5" s="2"/>
      <x:c r="E5" s="2"/>
      <x:c r="F5" s="2"/>
    </x:row>
    <x:row r="6" ht="36" customHeight="1">
      <x:c r="A6" s="11" t="str">
        <x:v>연령대</x:v>
      </x:c>
      <x:c r="B6" s="11" t="str">
        <x:v>암/건강보험</x:v>
      </x:c>
      <x:c r="C6" s="11" t="str">
        <x:v>간편심사보험</x:v>
      </x:c>
      <x:c r="D6" s="11" t="str">
        <x:v>종신보험</x:v>
      </x:c>
      <x:c r="E6" s="11" t="str">
        <x:v>연금보험</x:v>
      </x:c>
      <x:c r="F6" s="11" t="str">
        <x:v>합계</x:v>
      </x:c>
    </x:row>
    <x:row r="7" ht="25" customHeight="1">
      <x:c r="A7" s="12" t="str">
        <x:v>20대</x:v>
      </x:c>
      <x:c r="B7" s="19" t="n">
        <x:f>COUNTIFS('고객데이터'!$C$5:$C$1004,$A7,'고객데이터'!$N$5:$N$1004,B$6)</x:f>
        <x:v>90</x:v>
      </x:c>
      <x:c r="C7" s="19" t="n">
        <x:f>COUNTIFS('고객데이터'!$C$5:$C$1004,$A7,'고객데이터'!$N$5:$N$1004,C$6)</x:f>
        <x:v>27</x:v>
      </x:c>
      <x:c r="D7" s="19" t="n">
        <x:f>COUNTIFS('고객데이터'!$C$5:$C$1004,$A7,'고객데이터'!$N$5:$N$1004,D$6)</x:f>
        <x:v>28</x:v>
      </x:c>
      <x:c r="E7" s="19" t="n">
        <x:f>COUNTIFS('고객데이터'!$C$5:$C$1004,$A7,'고객데이터'!$N$5:$N$1004,E$6)</x:f>
        <x:v>75</x:v>
      </x:c>
      <x:c r="F7" s="19" t="n">
        <x:f>SUM(B7:E7)</x:f>
        <x:v>220</x:v>
      </x:c>
    </x:row>
    <x:row r="8" ht="25" customHeight="1">
      <x:c r="A8" s="2" t="str">
        <x:v>30대</x:v>
      </x:c>
      <x:c r="B8" s="7" t="n">
        <x:f>COUNTIFS('고객데이터'!$C$5:$C$1004,$A8,'고객데이터'!$N$5:$N$1004,B$6)</x:f>
        <x:v>78</x:v>
      </x:c>
      <x:c r="C8" s="7" t="n">
        <x:f>COUNTIFS('고객데이터'!$C$5:$C$1004,$A8,'고객데이터'!$N$5:$N$1004,C$6)</x:f>
        <x:v>38</x:v>
      </x:c>
      <x:c r="D8" s="7" t="n">
        <x:f>COUNTIFS('고객데이터'!$C$5:$C$1004,$A8,'고객데이터'!$N$5:$N$1004,D$6)</x:f>
        <x:v>64</x:v>
      </x:c>
      <x:c r="E8" s="7" t="n">
        <x:f>COUNTIFS('고객데이터'!$C$5:$C$1004,$A8,'고객데이터'!$N$5:$N$1004,E$6)</x:f>
        <x:v>22</x:v>
      </x:c>
      <x:c r="F8" s="7" t="n">
        <x:f>SUM(B8:E8)</x:f>
        <x:v>202</x:v>
      </x:c>
    </x:row>
    <x:row r="9" ht="25" customHeight="1">
      <x:c r="A9" s="12" t="str">
        <x:v>40대</x:v>
      </x:c>
      <x:c r="B9" s="19" t="n">
        <x:f>COUNTIFS('고객데이터'!$C$5:$C$1004,$A9,'고객데이터'!$N$5:$N$1004,B$6)</x:f>
        <x:v>60</x:v>
      </x:c>
      <x:c r="C9" s="19" t="n">
        <x:f>COUNTIFS('고객데이터'!$C$5:$C$1004,$A9,'고객데이터'!$N$5:$N$1004,C$6)</x:f>
        <x:v>61</x:v>
      </x:c>
      <x:c r="D9" s="19" t="n">
        <x:f>COUNTIFS('고객데이터'!$C$5:$C$1004,$A9,'고객데이터'!$N$5:$N$1004,D$6)</x:f>
        <x:v>84</x:v>
      </x:c>
      <x:c r="E9" s="19" t="n">
        <x:f>COUNTIFS('고객데이터'!$C$5:$C$1004,$A9,'고객데이터'!$N$5:$N$1004,E$6)</x:f>
        <x:v>30</x:v>
      </x:c>
      <x:c r="F9" s="19" t="n">
        <x:f>SUM(B9:E9)</x:f>
        <x:v>235</x:v>
      </x:c>
    </x:row>
    <x:row r="10" ht="25" customHeight="1">
      <x:c r="A10" s="2" t="str">
        <x:v>50대</x:v>
      </x:c>
      <x:c r="B10" s="7" t="n">
        <x:f>COUNTIFS('고객데이터'!$C$5:$C$1004,$A10,'고객데이터'!$N$5:$N$1004,B$6)</x:f>
        <x:v>69</x:v>
      </x:c>
      <x:c r="C10" s="7" t="n">
        <x:f>COUNTIFS('고객데이터'!$C$5:$C$1004,$A10,'고객데이터'!$N$5:$N$1004,C$6)</x:f>
        <x:v>95</x:v>
      </x:c>
      <x:c r="D10" s="7" t="n">
        <x:f>COUNTIFS('고객데이터'!$C$5:$C$1004,$A10,'고객데이터'!$N$5:$N$1004,D$6)</x:f>
        <x:v>18</x:v>
      </x:c>
      <x:c r="E10" s="7" t="n">
        <x:f>COUNTIFS('고객데이터'!$C$5:$C$1004,$A10,'고객데이터'!$N$5:$N$1004,E$6)</x:f>
        <x:v>52</x:v>
      </x:c>
      <x:c r="F10" s="7" t="n">
        <x:f>SUM(B10:E10)</x:f>
        <x:v>234</x:v>
      </x:c>
    </x:row>
    <x:row r="11" ht="25" customHeight="1">
      <x:c r="A11" s="12" t="str">
        <x:v>60대</x:v>
      </x:c>
      <x:c r="B11" s="19" t="n">
        <x:f>COUNTIFS('고객데이터'!$C$5:$C$1004,$A11,'고객데이터'!$N$5:$N$1004,B$6)</x:f>
        <x:v>33</x:v>
      </x:c>
      <x:c r="C11" s="19" t="n">
        <x:f>COUNTIFS('고객데이터'!$C$5:$C$1004,$A11,'고객데이터'!$N$5:$N$1004,C$6)</x:f>
        <x:v>40</x:v>
      </x:c>
      <x:c r="D11" s="19" t="n">
        <x:f>COUNTIFS('고객데이터'!$C$5:$C$1004,$A11,'고객데이터'!$N$5:$N$1004,D$6)</x:f>
        <x:v>8</x:v>
      </x:c>
      <x:c r="E11" s="19" t="n">
        <x:f>COUNTIFS('고객데이터'!$C$5:$C$1004,$A11,'고객데이터'!$N$5:$N$1004,E$6)</x:f>
        <x:v>28</x:v>
      </x:c>
      <x:c r="F11" s="19" t="n">
        <x:f>SUM(B11:E11)</x:f>
        <x:v>109</x:v>
      </x:c>
    </x:row>
    <x:row r="12" ht="24" customHeight="1">
      <x:c r="A12" s="2"/>
      <x:c r="B12" s="2"/>
      <x:c r="C12" s="2"/>
      <x:c r="D12" s="2"/>
      <x:c r="E12" s="2"/>
      <x:c r="F12" s="2"/>
    </x:row>
    <x:row r="13" ht="24" customHeight="1">
      <x:c r="A13" s="13" t="str">
        <x:v>연령대별 구성비 (행 기준)</x:v>
      </x:c>
      <x:c r="B13" s="2"/>
      <x:c r="C13" s="2"/>
      <x:c r="D13" s="2"/>
      <x:c r="E13" s="2"/>
      <x:c r="F13" s="2"/>
    </x:row>
    <x:row r="14" ht="36" customHeight="1">
      <x:c r="A14" s="11" t="str">
        <x:v>연령대</x:v>
      </x:c>
      <x:c r="B14" s="11" t="str">
        <x:v>암/건강보험</x:v>
      </x:c>
      <x:c r="C14" s="11" t="str">
        <x:v>간편심사보험</x:v>
      </x:c>
      <x:c r="D14" s="11" t="str">
        <x:v>종신보험</x:v>
      </x:c>
      <x:c r="E14" s="11" t="str">
        <x:v>연금보험</x:v>
      </x:c>
      <x:c r="F14" s="11" t="str">
        <x:v>합계</x:v>
      </x:c>
    </x:row>
    <x:row r="15" ht="25" customHeight="1">
      <x:c r="A15" s="12" t="str">
        <x:v>20대</x:v>
      </x:c>
      <x:c r="B15" s="15" t="n">
        <x:f>IF($F7=0,"n.a.",B7/$F7)</x:f>
        <x:v>0.4090909090909091</x:v>
      </x:c>
      <x:c r="C15" s="15" t="n">
        <x:f>IF($F7=0,"n.a.",C7/$F7)</x:f>
        <x:v>0.12272727272727273</x:v>
      </x:c>
      <x:c r="D15" s="15" t="n">
        <x:f>IF($F7=0,"n.a.",D7/$F7)</x:f>
        <x:v>0.12727272727272726</x:v>
      </x:c>
      <x:c r="E15" s="15" t="n">
        <x:f>IF($F7=0,"n.a.",E7/$F7)</x:f>
        <x:v>0.3409090909090909</x:v>
      </x:c>
      <x:c r="F15" s="15" t="n">
        <x:f>SUM(B15:E15)</x:f>
        <x:v>1</x:v>
      </x:c>
    </x:row>
    <x:row r="16" ht="25" customHeight="1">
      <x:c r="A16" s="2" t="str">
        <x:v>30대</x:v>
      </x:c>
      <x:c r="B16" s="16" t="n">
        <x:f>IF($F8=0,"n.a.",B8/$F8)</x:f>
        <x:v>0.38613861386138615</x:v>
      </x:c>
      <x:c r="C16" s="16" t="n">
        <x:f>IF($F8=0,"n.a.",C8/$F8)</x:f>
        <x:v>0.18811881188118812</x:v>
      </x:c>
      <x:c r="D16" s="16" t="n">
        <x:f>IF($F8=0,"n.a.",D8/$F8)</x:f>
        <x:v>0.31683168316831684</x:v>
      </x:c>
      <x:c r="E16" s="16" t="n">
        <x:f>IF($F8=0,"n.a.",E8/$F8)</x:f>
        <x:v>0.10891089108910891</x:v>
      </x:c>
      <x:c r="F16" s="16" t="n">
        <x:f>SUM(B16:E16)</x:f>
        <x:v>1.0000000000000002</x:v>
      </x:c>
    </x:row>
    <x:row r="17" ht="25" customHeight="1">
      <x:c r="A17" s="12" t="str">
        <x:v>40대</x:v>
      </x:c>
      <x:c r="B17" s="15" t="n">
        <x:f>IF($F9=0,"n.a.",B9/$F9)</x:f>
        <x:v>0.2553191489361702</x:v>
      </x:c>
      <x:c r="C17" s="15" t="n">
        <x:f>IF($F9=0,"n.a.",C9/$F9)</x:f>
        <x:v>0.25957446808510637</x:v>
      </x:c>
      <x:c r="D17" s="15" t="n">
        <x:f>IF($F9=0,"n.a.",D9/$F9)</x:f>
        <x:v>0.3574468085106383</x:v>
      </x:c>
      <x:c r="E17" s="15" t="n">
        <x:f>IF($F9=0,"n.a.",E9/$F9)</x:f>
        <x:v>0.1276595744680851</x:v>
      </x:c>
      <x:c r="F17" s="15" t="n">
        <x:f>SUM(B17:E17)</x:f>
        <x:v>1</x:v>
      </x:c>
    </x:row>
    <x:row r="18" ht="25" customHeight="1">
      <x:c r="A18" s="2" t="str">
        <x:v>50대</x:v>
      </x:c>
      <x:c r="B18" s="16" t="n">
        <x:f>IF($F10=0,"n.a.",B10/$F10)</x:f>
        <x:v>0.2948717948717949</x:v>
      </x:c>
      <x:c r="C18" s="16" t="n">
        <x:f>IF($F10=0,"n.a.",C10/$F10)</x:f>
        <x:v>0.405982905982906</x:v>
      </x:c>
      <x:c r="D18" s="16" t="n">
        <x:f>IF($F10=0,"n.a.",D10/$F10)</x:f>
        <x:v>0.07692307692307693</x:v>
      </x:c>
      <x:c r="E18" s="16" t="n">
        <x:f>IF($F10=0,"n.a.",E10/$F10)</x:f>
        <x:v>0.2222222222222222</x:v>
      </x:c>
      <x:c r="F18" s="16" t="n">
        <x:f>SUM(B18:E18)</x:f>
        <x:v>0.9999999999999999</x:v>
      </x:c>
    </x:row>
    <x:row r="19" ht="25" customHeight="1">
      <x:c r="A19" s="12" t="str">
        <x:v>60대</x:v>
      </x:c>
      <x:c r="B19" s="15" t="n">
        <x:f>IF($F11=0,"n.a.",B11/$F11)</x:f>
        <x:v>0.30275229357798167</x:v>
      </x:c>
      <x:c r="C19" s="15" t="n">
        <x:f>IF($F11=0,"n.a.",C11/$F11)</x:f>
        <x:v>0.3669724770642202</x:v>
      </x:c>
      <x:c r="D19" s="15" t="n">
        <x:f>IF($F11=0,"n.a.",D11/$F11)</x:f>
        <x:v>0.07339449541284404</x:v>
      </x:c>
      <x:c r="E19" s="15" t="n">
        <x:f>IF($F11=0,"n.a.",E11/$F11)</x:f>
        <x:v>0.25688073394495414</x:v>
      </x:c>
      <x:c r="F19" s="15" t="n">
        <x:f>SUM(B19:E19)</x:f>
        <x:v>1</x:v>
      </x:c>
    </x:row>
    <x:row r="20" ht="24" customHeight="1">
      <x:c r="A20" s="2"/>
      <x:c r="B20" s="2"/>
      <x:c r="C20" s="2"/>
      <x:c r="D20" s="2"/>
      <x:c r="E20" s="2"/>
      <x:c r="F20" s="2"/>
    </x:row>
    <x:row r="21" ht="24" customHeight="1">
      <x:c r="A21" s="2"/>
      <x:c r="B21" s="2"/>
      <x:c r="C21" s="2"/>
      <x:c r="D21" s="2"/>
      <x:c r="E21" s="2"/>
      <x:c r="F21" s="2"/>
    </x:row>
    <x:row r="22" ht="24" customHeight="1">
      <x:c r="A22" s="2"/>
      <x:c r="B22" s="2"/>
      <x:c r="C22" s="2"/>
      <x:c r="D22" s="2"/>
      <x:c r="E22" s="2"/>
      <x:c r="F22" s="2"/>
    </x:row>
    <x:row r="23" ht="24" customHeight="1">
      <x:c r="A23" s="13" t="str">
        <x:v>흡연여부별 고객수 (명)</x:v>
      </x:c>
      <x:c r="B23" s="2"/>
      <x:c r="C23" s="2"/>
      <x:c r="D23" s="2"/>
      <x:c r="E23" s="2"/>
      <x:c r="F23" s="2"/>
    </x:row>
    <x:row r="24" ht="36" customHeight="1">
      <x:c r="A24" s="11" t="str">
        <x:v>흡연여부</x:v>
      </x:c>
      <x:c r="B24" s="11" t="str">
        <x:v>암/건강보험</x:v>
      </x:c>
      <x:c r="C24" s="11" t="str">
        <x:v>간편심사보험</x:v>
      </x:c>
      <x:c r="D24" s="11" t="str">
        <x:v>종신보험</x:v>
      </x:c>
      <x:c r="E24" s="11" t="str">
        <x:v>연금보험</x:v>
      </x:c>
      <x:c r="F24" s="11" t="str">
        <x:v>합계</x:v>
      </x:c>
    </x:row>
    <x:row r="25" ht="25" customHeight="1">
      <x:c r="A25" s="12" t="str">
        <x:v>비흡연</x:v>
      </x:c>
      <x:c r="B25" s="19" t="n">
        <x:f>COUNTIFS('고객데이터'!$J$5:$J$1004,$A25,'고객데이터'!$N$5:$N$1004,B$24)</x:f>
        <x:v>236</x:v>
      </x:c>
      <x:c r="C25" s="19" t="n">
        <x:f>COUNTIFS('고객데이터'!$J$5:$J$1004,$A25,'고객데이터'!$N$5:$N$1004,C$24)</x:f>
        <x:v>197</x:v>
      </x:c>
      <x:c r="D25" s="19" t="n">
        <x:f>COUNTIFS('고객데이터'!$J$5:$J$1004,$A25,'고객데이터'!$N$5:$N$1004,D$24)</x:f>
        <x:v>162</x:v>
      </x:c>
      <x:c r="E25" s="19" t="n">
        <x:f>COUNTIFS('고객데이터'!$J$5:$J$1004,$A25,'고객데이터'!$N$5:$N$1004,E$24)</x:f>
        <x:v>171</x:v>
      </x:c>
      <x:c r="F25" s="19" t="n">
        <x:f>SUM(B25:E25)</x:f>
        <x:v>766</x:v>
      </x:c>
    </x:row>
    <x:row r="26" ht="25" customHeight="1">
      <x:c r="A26" s="2" t="str">
        <x:v>흡연</x:v>
      </x:c>
      <x:c r="B26" s="7" t="n">
        <x:f>COUNTIFS('고객데이터'!$J$5:$J$1004,$A26,'고객데이터'!$N$5:$N$1004,B$24)</x:f>
        <x:v>94</x:v>
      </x:c>
      <x:c r="C26" s="7" t="n">
        <x:f>COUNTIFS('고객데이터'!$J$5:$J$1004,$A26,'고객데이터'!$N$5:$N$1004,C$24)</x:f>
        <x:v>64</x:v>
      </x:c>
      <x:c r="D26" s="7" t="n">
        <x:f>COUNTIFS('고객데이터'!$J$5:$J$1004,$A26,'고객데이터'!$N$5:$N$1004,D$24)</x:f>
        <x:v>40</x:v>
      </x:c>
      <x:c r="E26" s="7" t="n">
        <x:f>COUNTIFS('고객데이터'!$J$5:$J$1004,$A26,'고객데이터'!$N$5:$N$1004,E$24)</x:f>
        <x:v>36</x:v>
      </x:c>
      <x:c r="F26" s="7" t="n">
        <x:f>SUM(B26:E26)</x:f>
        <x:v>234</x:v>
      </x:c>
    </x:row>
    <x:row r="27" ht="24" customHeight="1">
      <x:c r="A27" s="2"/>
      <x:c r="B27" s="2"/>
      <x:c r="C27" s="2"/>
      <x:c r="D27" s="2"/>
      <x:c r="E27" s="2"/>
      <x:c r="F27" s="2"/>
    </x:row>
    <x:row r="28" ht="24" customHeight="1">
      <x:c r="A28" s="13" t="str">
        <x:v>흡연여부별 구성비 (행 기준)</x:v>
      </x:c>
      <x:c r="B28" s="2"/>
      <x:c r="C28" s="2"/>
      <x:c r="D28" s="2"/>
      <x:c r="E28" s="2"/>
      <x:c r="F28" s="2"/>
    </x:row>
    <x:row r="29" ht="36" customHeight="1">
      <x:c r="A29" s="11" t="str">
        <x:v>흡연여부</x:v>
      </x:c>
      <x:c r="B29" s="11" t="str">
        <x:v>암/건강보험</x:v>
      </x:c>
      <x:c r="C29" s="11" t="str">
        <x:v>간편심사보험</x:v>
      </x:c>
      <x:c r="D29" s="11" t="str">
        <x:v>종신보험</x:v>
      </x:c>
      <x:c r="E29" s="11" t="str">
        <x:v>연금보험</x:v>
      </x:c>
      <x:c r="F29" s="11" t="str">
        <x:v>합계</x:v>
      </x:c>
    </x:row>
    <x:row r="30" ht="25" customHeight="1">
      <x:c r="A30" s="12" t="str">
        <x:v>비흡연</x:v>
      </x:c>
      <x:c r="B30" s="15" t="n">
        <x:f>IF($F25=0,"n.a.",B25/$F25)</x:f>
        <x:v>0.30809399477806787</x:v>
      </x:c>
      <x:c r="C30" s="15" t="n">
        <x:f>IF($F25=0,"n.a.",C25/$F25)</x:f>
        <x:v>0.25718015665796345</x:v>
      </x:c>
      <x:c r="D30" s="15" t="n">
        <x:f>IF($F25=0,"n.a.",D25/$F25)</x:f>
        <x:v>0.21148825065274152</x:v>
      </x:c>
      <x:c r="E30" s="15" t="n">
        <x:f>IF($F25=0,"n.a.",E25/$F25)</x:f>
        <x:v>0.22323759791122716</x:v>
      </x:c>
      <x:c r="F30" s="15" t="n">
        <x:f>SUM(B30:E30)</x:f>
        <x:v>1</x:v>
      </x:c>
    </x:row>
    <x:row r="31" ht="25" customHeight="1">
      <x:c r="A31" s="2" t="str">
        <x:v>흡연</x:v>
      </x:c>
      <x:c r="B31" s="16" t="n">
        <x:f>IF($F26=0,"n.a.",B26/$F26)</x:f>
        <x:v>0.4017094017094017</x:v>
      </x:c>
      <x:c r="C31" s="16" t="n">
        <x:f>IF($F26=0,"n.a.",C26/$F26)</x:f>
        <x:v>0.27350427350427353</x:v>
      </x:c>
      <x:c r="D31" s="16" t="n">
        <x:f>IF($F26=0,"n.a.",D26/$F26)</x:f>
        <x:v>0.17094017094017094</x:v>
      </x:c>
      <x:c r="E31" s="16" t="n">
        <x:f>IF($F26=0,"n.a.",E26/$F26)</x:f>
        <x:v>0.15384615384615385</x:v>
      </x:c>
      <x:c r="F31" s="16" t="n">
        <x:f>SUM(B31:E31)</x:f>
        <x:v>1</x:v>
      </x:c>
    </x:row>
    <x:row r="32" ht="24" customHeight="1">
      <x:c r="A32" s="2"/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13" t="str">
        <x:v>결혼여부별 고객수 (명)</x:v>
      </x:c>
      <x:c r="B35" s="2"/>
      <x:c r="C35" s="2"/>
      <x:c r="D35" s="2"/>
      <x:c r="E35" s="2"/>
      <x:c r="F35" s="2"/>
    </x:row>
    <x:row r="36" ht="36" customHeight="1">
      <x:c r="A36" s="11" t="str">
        <x:v>결혼여부</x:v>
      </x:c>
      <x:c r="B36" s="11" t="str">
        <x:v>암/건강보험</x:v>
      </x:c>
      <x:c r="C36" s="11" t="str">
        <x:v>간편심사보험</x:v>
      </x:c>
      <x:c r="D36" s="11" t="str">
        <x:v>종신보험</x:v>
      </x:c>
      <x:c r="E36" s="11" t="str">
        <x:v>연금보험</x:v>
      </x:c>
      <x:c r="F36" s="11" t="str">
        <x:v>합계</x:v>
      </x:c>
    </x:row>
    <x:row r="37" ht="25" customHeight="1">
      <x:c r="A37" s="12" t="str">
        <x:v>미혼</x:v>
      </x:c>
      <x:c r="B37" s="19" t="n">
        <x:f>COUNTIFS('고객데이터'!$G$5:$G$1004,$A37,'고객데이터'!$N$5:$N$1004,B$36)</x:f>
        <x:v>114</x:v>
      </x:c>
      <x:c r="C37" s="19" t="n">
        <x:f>COUNTIFS('고객데이터'!$G$5:$G$1004,$A37,'고객데이터'!$N$5:$N$1004,C$36)</x:f>
        <x:v>61</x:v>
      </x:c>
      <x:c r="D37" s="19" t="n">
        <x:f>COUNTIFS('고객데이터'!$G$5:$G$1004,$A37,'고객데이터'!$N$5:$N$1004,D$36)</x:f>
        <x:v>39</x:v>
      </x:c>
      <x:c r="E37" s="19" t="n">
        <x:f>COUNTIFS('고객데이터'!$G$5:$G$1004,$A37,'고객데이터'!$N$5:$N$1004,E$36)</x:f>
        <x:v>123</x:v>
      </x:c>
      <x:c r="F37" s="19" t="n">
        <x:f>SUM(B37:E37)</x:f>
        <x:v>337</x:v>
      </x:c>
    </x:row>
    <x:row r="38" ht="25" customHeight="1">
      <x:c r="A38" s="2" t="str">
        <x:v>기혼</x:v>
      </x:c>
      <x:c r="B38" s="7" t="n">
        <x:f>COUNTIFS('고객데이터'!$G$5:$G$1004,$A38,'고객데이터'!$N$5:$N$1004,B$36)</x:f>
        <x:v>216</x:v>
      </x:c>
      <x:c r="C38" s="7" t="n">
        <x:f>COUNTIFS('고객데이터'!$G$5:$G$1004,$A38,'고객데이터'!$N$5:$N$1004,C$36)</x:f>
        <x:v>200</x:v>
      </x:c>
      <x:c r="D38" s="7" t="n">
        <x:f>COUNTIFS('고객데이터'!$G$5:$G$1004,$A38,'고객데이터'!$N$5:$N$1004,D$36)</x:f>
        <x:v>163</x:v>
      </x:c>
      <x:c r="E38" s="7" t="n">
        <x:f>COUNTIFS('고객데이터'!$G$5:$G$1004,$A38,'고객데이터'!$N$5:$N$1004,E$36)</x:f>
        <x:v>84</x:v>
      </x:c>
      <x:c r="F38" s="7" t="n">
        <x:f>SUM(B38:E38)</x:f>
        <x:v>663</x:v>
      </x:c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13" t="str">
        <x:v>결혼여부별 구성비 (행 기준)</x:v>
      </x:c>
      <x:c r="B40" s="2"/>
      <x:c r="C40" s="2"/>
      <x:c r="D40" s="2"/>
      <x:c r="E40" s="2"/>
      <x:c r="F40" s="2"/>
    </x:row>
    <x:row r="41" ht="36" customHeight="1">
      <x:c r="A41" s="11" t="str">
        <x:v>결혼여부</x:v>
      </x:c>
      <x:c r="B41" s="11" t="str">
        <x:v>암/건강보험</x:v>
      </x:c>
      <x:c r="C41" s="11" t="str">
        <x:v>간편심사보험</x:v>
      </x:c>
      <x:c r="D41" s="11" t="str">
        <x:v>종신보험</x:v>
      </x:c>
      <x:c r="E41" s="11" t="str">
        <x:v>연금보험</x:v>
      </x:c>
      <x:c r="F41" s="11" t="str">
        <x:v>합계</x:v>
      </x:c>
    </x:row>
    <x:row r="42" ht="25" customHeight="1">
      <x:c r="A42" s="12" t="str">
        <x:v>미혼</x:v>
      </x:c>
      <x:c r="B42" s="15" t="n">
        <x:f>IF($F37=0,"n.a.",B37/$F37)</x:f>
        <x:v>0.33827893175074186</x:v>
      </x:c>
      <x:c r="C42" s="15" t="n">
        <x:f>IF($F37=0,"n.a.",C37/$F37)</x:f>
        <x:v>0.18100890207715134</x:v>
      </x:c>
      <x:c r="D42" s="15" t="n">
        <x:f>IF($F37=0,"n.a.",D37/$F37)</x:f>
        <x:v>0.11572700296735905</x:v>
      </x:c>
      <x:c r="E42" s="15" t="n">
        <x:f>IF($F37=0,"n.a.",E37/$F37)</x:f>
        <x:v>0.3649851632047478</x:v>
      </x:c>
      <x:c r="F42" s="15" t="n">
        <x:f>SUM(B42:E42)</x:f>
        <x:v>1</x:v>
      </x:c>
    </x:row>
    <x:row r="43" ht="25" customHeight="1">
      <x:c r="A43" s="2" t="str">
        <x:v>기혼</x:v>
      </x:c>
      <x:c r="B43" s="16" t="n">
        <x:f>IF($F38=0,"n.a.",B38/$F38)</x:f>
        <x:v>0.3257918552036199</x:v>
      </x:c>
      <x:c r="C43" s="16" t="n">
        <x:f>IF($F38=0,"n.a.",C38/$F38)</x:f>
        <x:v>0.30165912518853694</x:v>
      </x:c>
      <x:c r="D43" s="16" t="n">
        <x:f>IF($F38=0,"n.a.",D38/$F38)</x:f>
        <x:v>0.2458521870286576</x:v>
      </x:c>
      <x:c r="E43" s="16" t="n">
        <x:f>IF($F38=0,"n.a.",E38/$F38)</x:f>
        <x:v>0.12669683257918551</x:v>
      </x:c>
      <x:c r="F43" s="16" t="n">
        <x:f>SUM(B43:E43)</x:f>
        <x:v>1</x:v>
      </x:c>
    </x:row>
    <x:row r="44" ht="24" customHeight="1">
      <x:c r="A44" s="2"/>
      <x:c r="B44" s="2"/>
      <x:c r="C44" s="2"/>
      <x:c r="D44" s="2"/>
      <x:c r="E44" s="2"/>
      <x:c r="F44" s="2"/>
    </x:row>
    <x:row r="45" ht="24" customHeight="1">
      <x:c r="A45" s="2"/>
      <x:c r="B45" s="2"/>
      <x:c r="C45" s="2"/>
      <x:c r="D45" s="2"/>
      <x:c r="E45" s="2"/>
      <x:c r="F45" s="2"/>
    </x:row>
    <x:row r="46" ht="24" customHeight="1">
      <x:c r="A46" s="2"/>
      <x:c r="B46" s="2"/>
      <x:c r="C46" s="2"/>
      <x:c r="D46" s="2"/>
      <x:c r="E46" s="2"/>
      <x:c r="F46" s="2"/>
    </x:row>
    <x:row r="47" ht="24" customHeight="1">
      <x:c r="A47" s="13" t="str">
        <x:v>자녀구간별 고객수 (명)</x:v>
      </x:c>
      <x:c r="B47" s="2"/>
      <x:c r="C47" s="2"/>
      <x:c r="D47" s="2"/>
      <x:c r="E47" s="2"/>
      <x:c r="F47" s="2"/>
    </x:row>
    <x:row r="48" ht="36" customHeight="1">
      <x:c r="A48" s="11" t="str">
        <x:v>자녀구간</x:v>
      </x:c>
      <x:c r="B48" s="11" t="str">
        <x:v>암/건강보험</x:v>
      </x:c>
      <x:c r="C48" s="11" t="str">
        <x:v>간편심사보험</x:v>
      </x:c>
      <x:c r="D48" s="11" t="str">
        <x:v>종신보험</x:v>
      </x:c>
      <x:c r="E48" s="11" t="str">
        <x:v>연금보험</x:v>
      </x:c>
      <x:c r="F48" s="11" t="str">
        <x:v>합계</x:v>
      </x:c>
    </x:row>
    <x:row r="49" ht="25" customHeight="1">
      <x:c r="A49" s="12" t="str">
        <x:v>0명</x:v>
      </x:c>
      <x:c r="B49" s="19" t="n">
        <x:f>COUNTIFS('고객데이터'!$I$5:$I$1004,$A49,'고객데이터'!$N$5:$N$1004,B$48)</x:f>
        <x:v>169</x:v>
      </x:c>
      <x:c r="C49" s="19" t="n">
        <x:f>COUNTIFS('고객데이터'!$I$5:$I$1004,$A49,'고객데이터'!$N$5:$N$1004,C$48)</x:f>
        <x:v>108</x:v>
      </x:c>
      <x:c r="D49" s="19" t="n">
        <x:f>COUNTIFS('고객데이터'!$I$5:$I$1004,$A49,'고객데이터'!$N$5:$N$1004,D$48)</x:f>
        <x:v>47</x:v>
      </x:c>
      <x:c r="E49" s="19" t="n">
        <x:f>COUNTIFS('고객데이터'!$I$5:$I$1004,$A49,'고객데이터'!$N$5:$N$1004,E$48)</x:f>
        <x:v>163</x:v>
      </x:c>
      <x:c r="F49" s="19" t="n">
        <x:f>SUM(B49:E49)</x:f>
        <x:v>487</x:v>
      </x:c>
    </x:row>
    <x:row r="50" ht="25" customHeight="1">
      <x:c r="A50" s="2" t="str">
        <x:v>1명</x:v>
      </x:c>
      <x:c r="B50" s="7" t="n">
        <x:f>COUNTIFS('고객데이터'!$I$5:$I$1004,$A50,'고객데이터'!$N$5:$N$1004,B$48)</x:f>
        <x:v>91</x:v>
      </x:c>
      <x:c r="C50" s="7" t="n">
        <x:f>COUNTIFS('고객데이터'!$I$5:$I$1004,$A50,'고객데이터'!$N$5:$N$1004,C$48)</x:f>
        <x:v>96</x:v>
      </x:c>
      <x:c r="D50" s="7" t="n">
        <x:f>COUNTIFS('고객데이터'!$I$5:$I$1004,$A50,'고객데이터'!$N$5:$N$1004,D$48)</x:f>
        <x:v>87</x:v>
      </x:c>
      <x:c r="E50" s="7" t="n">
        <x:f>COUNTIFS('고객데이터'!$I$5:$I$1004,$A50,'고객데이터'!$N$5:$N$1004,E$48)</x:f>
        <x:v>21</x:v>
      </x:c>
      <x:c r="F50" s="7" t="n">
        <x:f>SUM(B50:E50)</x:f>
        <x:v>295</x:v>
      </x:c>
    </x:row>
    <x:row r="51" ht="25" customHeight="1">
      <x:c r="A51" s="12" t="str">
        <x:v>2명</x:v>
      </x:c>
      <x:c r="B51" s="19" t="n">
        <x:f>COUNTIFS('고객데이터'!$I$5:$I$1004,$A51,'고객데이터'!$N$5:$N$1004,B$48)</x:f>
        <x:v>66</x:v>
      </x:c>
      <x:c r="C51" s="19" t="n">
        <x:f>COUNTIFS('고객데이터'!$I$5:$I$1004,$A51,'고객데이터'!$N$5:$N$1004,C$48)</x:f>
        <x:v>57</x:v>
      </x:c>
      <x:c r="D51" s="19" t="n">
        <x:f>COUNTIFS('고객데이터'!$I$5:$I$1004,$A51,'고객데이터'!$N$5:$N$1004,D$48)</x:f>
        <x:v>62</x:v>
      </x:c>
      <x:c r="E51" s="19" t="n">
        <x:f>COUNTIFS('고객데이터'!$I$5:$I$1004,$A51,'고객데이터'!$N$5:$N$1004,E$48)</x:f>
        <x:v>22</x:v>
      </x:c>
      <x:c r="F51" s="19" t="n">
        <x:f>SUM(B51:E51)</x:f>
        <x:v>207</x:v>
      </x:c>
    </x:row>
    <x:row r="52" ht="25" customHeight="1">
      <x:c r="A52" s="2" t="str">
        <x:v>3명 이상</x:v>
      </x:c>
      <x:c r="B52" s="7" t="n">
        <x:f>COUNTIFS('고객데이터'!$I$5:$I$1004,$A52,'고객데이터'!$N$5:$N$1004,B$48)</x:f>
        <x:v>4</x:v>
      </x:c>
      <x:c r="C52" s="7" t="n">
        <x:f>COUNTIFS('고객데이터'!$I$5:$I$1004,$A52,'고객데이터'!$N$5:$N$1004,C$48)</x:f>
        <x:v>0</x:v>
      </x:c>
      <x:c r="D52" s="7" t="n">
        <x:f>COUNTIFS('고객데이터'!$I$5:$I$1004,$A52,'고객데이터'!$N$5:$N$1004,D$48)</x:f>
        <x:v>6</x:v>
      </x:c>
      <x:c r="E52" s="7" t="n">
        <x:f>COUNTIFS('고객데이터'!$I$5:$I$1004,$A52,'고객데이터'!$N$5:$N$1004,E$48)</x:f>
        <x:v>1</x:v>
      </x:c>
      <x:c r="F52" s="7" t="n">
        <x:f>SUM(B52:E52)</x:f>
        <x:v>11</x:v>
      </x:c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13" t="str">
        <x:v>자녀구간별 구성비 (행 기준)</x:v>
      </x:c>
      <x:c r="B54" s="2"/>
      <x:c r="C54" s="2"/>
      <x:c r="D54" s="2"/>
      <x:c r="E54" s="2"/>
      <x:c r="F54" s="2"/>
    </x:row>
    <x:row r="55" ht="36" customHeight="1">
      <x:c r="A55" s="11" t="str">
        <x:v>자녀구간</x:v>
      </x:c>
      <x:c r="B55" s="11" t="str">
        <x:v>암/건강보험</x:v>
      </x:c>
      <x:c r="C55" s="11" t="str">
        <x:v>간편심사보험</x:v>
      </x:c>
      <x:c r="D55" s="11" t="str">
        <x:v>종신보험</x:v>
      </x:c>
      <x:c r="E55" s="11" t="str">
        <x:v>연금보험</x:v>
      </x:c>
      <x:c r="F55" s="11" t="str">
        <x:v>합계</x:v>
      </x:c>
    </x:row>
    <x:row r="56" ht="25" customHeight="1">
      <x:c r="A56" s="12" t="str">
        <x:v>0명</x:v>
      </x:c>
      <x:c r="B56" s="15" t="n">
        <x:f>IF($F49=0,"n.a.",B49/$F49)</x:f>
        <x:v>0.3470225872689938</x:v>
      </x:c>
      <x:c r="C56" s="15" t="n">
        <x:f>IF($F49=0,"n.a.",C49/$F49)</x:f>
        <x:v>0.22176591375770022</x:v>
      </x:c>
      <x:c r="D56" s="15" t="n">
        <x:f>IF($F49=0,"n.a.",D49/$F49)</x:f>
        <x:v>0.09650924024640657</x:v>
      </x:c>
      <x:c r="E56" s="15" t="n">
        <x:f>IF($F49=0,"n.a.",E49/$F49)</x:f>
        <x:v>0.3347022587268994</x:v>
      </x:c>
      <x:c r="F56" s="15" t="n">
        <x:f>SUM(B56:E56)</x:f>
        <x:v>1</x:v>
      </x:c>
    </x:row>
    <x:row r="57" ht="25" customHeight="1">
      <x:c r="A57" s="2" t="str">
        <x:v>1명</x:v>
      </x:c>
      <x:c r="B57" s="16" t="n">
        <x:f>IF($F50=0,"n.a.",B50/$F50)</x:f>
        <x:v>0.30847457627118646</x:v>
      </x:c>
      <x:c r="C57" s="16" t="n">
        <x:f>IF($F50=0,"n.a.",C50/$F50)</x:f>
        <x:v>0.3254237288135593</x:v>
      </x:c>
      <x:c r="D57" s="16" t="n">
        <x:f>IF($F50=0,"n.a.",D50/$F50)</x:f>
        <x:v>0.29491525423728815</x:v>
      </x:c>
      <x:c r="E57" s="16" t="n">
        <x:f>IF($F50=0,"n.a.",E50/$F50)</x:f>
        <x:v>0.0711864406779661</x:v>
      </x:c>
      <x:c r="F57" s="16" t="n">
        <x:f>SUM(B57:E57)</x:f>
        <x:v>1</x:v>
      </x:c>
    </x:row>
    <x:row r="58" ht="25" customHeight="1">
      <x:c r="A58" s="12" t="str">
        <x:v>2명</x:v>
      </x:c>
      <x:c r="B58" s="15" t="n">
        <x:f>IF($F51=0,"n.a.",B51/$F51)</x:f>
        <x:v>0.3188405797101449</x:v>
      </x:c>
      <x:c r="C58" s="15" t="n">
        <x:f>IF($F51=0,"n.a.",C51/$F51)</x:f>
        <x:v>0.2753623188405797</x:v>
      </x:c>
      <x:c r="D58" s="15" t="n">
        <x:f>IF($F51=0,"n.a.",D51/$F51)</x:f>
        <x:v>0.2995169082125604</x:v>
      </x:c>
      <x:c r="E58" s="15" t="n">
        <x:f>IF($F51=0,"n.a.",E51/$F51)</x:f>
        <x:v>0.10628019323671498</x:v>
      </x:c>
      <x:c r="F58" s="15" t="n">
        <x:f>SUM(B58:E58)</x:f>
        <x:v>1</x:v>
      </x:c>
    </x:row>
    <x:row r="59" ht="25" customHeight="1">
      <x:c r="A59" s="2" t="str">
        <x:v>3명 이상</x:v>
      </x:c>
      <x:c r="B59" s="16" t="n">
        <x:f>IF($F52=0,"n.a.",B52/$F52)</x:f>
        <x:v>0.36363636363636365</x:v>
      </x:c>
      <x:c r="C59" s="16" t="n">
        <x:f>IF($F52=0,"n.a.",C52/$F52)</x:f>
        <x:v>0</x:v>
      </x:c>
      <x:c r="D59" s="16" t="n">
        <x:f>IF($F52=0,"n.a.",D52/$F52)</x:f>
        <x:v>0.5454545454545454</x:v>
      </x:c>
      <x:c r="E59" s="16" t="n">
        <x:f>IF($F52=0,"n.a.",E52/$F52)</x:f>
        <x:v>0.09090909090909091</x:v>
      </x:c>
      <x:c r="F59" s="16" t="n">
        <x:f>SUM(B59:E59)</x:f>
        <x:v>1</x:v>
      </x:c>
    </x:row>
    <x:row r="60" ht="24" customHeight="1">
      <x:c r="A60" s="2"/>
      <x:c r="B60" s="2"/>
      <x:c r="C60" s="2"/>
      <x:c r="D60" s="2"/>
      <x:c r="E60" s="2"/>
      <x:c r="F60" s="2"/>
    </x:row>
    <x:row r="61" ht="24" customHeight="1">
      <x:c r="A61" s="2"/>
      <x:c r="B61" s="2"/>
      <x:c r="C61" s="2"/>
      <x:c r="D61" s="2"/>
      <x:c r="E61" s="2"/>
      <x:c r="F61" s="2"/>
    </x:row>
    <x:row r="62" ht="24" customHeight="1">
      <x:c r="A62" s="2"/>
      <x:c r="B62" s="2"/>
      <x:c r="C62" s="2"/>
      <x:c r="D62" s="2"/>
      <x:c r="E62" s="2"/>
      <x:c r="F62" s="2"/>
    </x:row>
    <x:row r="63" ht="24" customHeight="1">
      <x:c r="A63" s="2"/>
      <x:c r="B63" s="2"/>
      <x:c r="C63" s="2"/>
      <x:c r="D63" s="2"/>
      <x:c r="E63" s="2"/>
      <x:c r="F63" s="2"/>
    </x:row>
    <x:row r="64" ht="24" customHeight="1">
      <x:c r="A64" s="2"/>
      <x:c r="B64" s="2"/>
      <x:c r="C64" s="2"/>
      <x:c r="D64" s="2"/>
      <x:c r="E64" s="2"/>
      <x:c r="F64" s="2"/>
    </x:row>
    <x:row r="65" ht="24" customHeight="1">
      <x:c r="A65" s="2"/>
      <x:c r="B65" s="2"/>
      <x:c r="C65" s="2"/>
      <x:c r="D65" s="2"/>
      <x:c r="E65" s="2"/>
      <x:c r="F65" s="2"/>
    </x:row>
    <x:row r="66" ht="24" customHeight="1">
      <x:c r="A66" s="2"/>
      <x:c r="B66" s="2"/>
      <x:c r="C66" s="2"/>
      <x:c r="D66" s="2"/>
      <x:c r="E66" s="2"/>
      <x:c r="F66" s="2"/>
    </x:row>
    <x:row r="67" ht="24" customHeight="1">
      <x:c r="A67" s="2"/>
      <x:c r="B67" s="2"/>
      <x:c r="C67" s="2"/>
      <x:c r="D67" s="2"/>
      <x:c r="E67" s="2"/>
      <x:c r="F67" s="2"/>
    </x:row>
    <x:row r="68" ht="24" customHeight="1">
      <x:c r="A68" s="2"/>
      <x:c r="B68" s="2"/>
      <x:c r="C68" s="2"/>
      <x:c r="D68" s="2"/>
      <x:c r="E68" s="2"/>
      <x:c r="F68" s="2"/>
    </x:row>
    <x:row r="69" ht="24" customHeight="1">
      <x:c r="A69" s="2"/>
      <x:c r="B69" s="2"/>
      <x:c r="C69" s="2"/>
      <x:c r="D69" s="2"/>
      <x:c r="E69" s="2"/>
      <x:c r="F69" s="2"/>
    </x:row>
    <x:row r="70" ht="24" customHeight="1">
      <x:c r="A70" s="2"/>
      <x:c r="B70" s="2"/>
      <x:c r="C70" s="2"/>
      <x:c r="D70" s="2"/>
      <x:c r="E70" s="2"/>
      <x:c r="F70" s="2"/>
    </x:row>
    <x:row r="71" ht="24" customHeight="1">
      <x:c r="A71" s="2"/>
      <x:c r="B71" s="2"/>
      <x:c r="C71" s="2"/>
      <x:c r="D71" s="2"/>
      <x:c r="E71" s="2"/>
      <x:c r="F71" s="2"/>
    </x:row>
    <x:row r="72" ht="24" customHeight="1">
      <x:c r="A72" s="2"/>
      <x:c r="B72" s="2"/>
      <x:c r="C72" s="2"/>
      <x:c r="D72" s="2"/>
      <x:c r="E72" s="2"/>
      <x:c r="F72" s="2"/>
    </x:row>
    <x:row r="73" ht="24" customHeight="1">
      <x:c r="A73" s="2"/>
      <x:c r="B73" s="2"/>
      <x:c r="C73" s="2"/>
      <x:c r="D73" s="2"/>
      <x:c r="E73" s="2"/>
      <x:c r="F73" s="2"/>
    </x:row>
    <x:row r="74" ht="24" customHeight="1">
      <x:c r="A74" s="2"/>
      <x:c r="B74" s="2"/>
      <x:c r="C74" s="2"/>
      <x:c r="D74" s="2"/>
      <x:c r="E74" s="2"/>
      <x:c r="F74" s="2"/>
    </x:row>
    <x:row r="75" ht="24" customHeight="1">
      <x:c r="A75" s="2"/>
      <x:c r="B75" s="2"/>
      <x:c r="C75" s="2"/>
      <x:c r="D75" s="2"/>
      <x:c r="E75" s="2"/>
      <x:c r="F75" s="2"/>
    </x:row>
    <x:row r="76" ht="24" customHeight="1">
      <x:c r="A76" s="2"/>
      <x:c r="B76" s="2"/>
      <x:c r="C76" s="2"/>
      <x:c r="D76" s="2"/>
      <x:c r="E76" s="2"/>
      <x:c r="F76" s="2"/>
    </x:row>
    <x:row r="77" ht="24" customHeight="1">
      <x:c r="A77" s="2"/>
      <x:c r="B77" s="2"/>
      <x:c r="C77" s="2"/>
      <x:c r="D77" s="2"/>
      <x:c r="E77" s="2"/>
      <x:c r="F77" s="2"/>
    </x:row>
    <x:row r="78" ht="24" customHeight="1">
      <x:c r="A78" s="2"/>
      <x:c r="B78" s="2"/>
      <x:c r="C78" s="2"/>
      <x:c r="D78" s="2"/>
      <x:c r="E78" s="2"/>
      <x:c r="F78" s="2"/>
    </x:row>
    <x:row r="79" ht="24" customHeight="1">
      <x:c r="A79" s="2"/>
      <x:c r="B79" s="2"/>
      <x:c r="C79" s="2"/>
      <x:c r="D79" s="2"/>
      <x:c r="E79" s="2"/>
      <x:c r="F79" s="2"/>
    </x:row>
    <x:row r="80" ht="24" customHeight="1">
      <x:c r="A80" s="2"/>
      <x:c r="B80" s="2"/>
      <x:c r="C80" s="2"/>
      <x:c r="D80" s="2"/>
      <x:c r="E80" s="2"/>
      <x:c r="F80" s="2"/>
    </x:row>
    <x:row r="81" ht="24" customHeight="1">
      <x:c r="A81" s="2"/>
      <x:c r="B81" s="2"/>
      <x:c r="C81" s="2"/>
      <x:c r="D81" s="2"/>
      <x:c r="E81" s="2"/>
      <x:c r="F81" s="2"/>
    </x:row>
    <x:row r="82" ht="24" customHeight="1">
      <x:c r="A82" s="2"/>
      <x:c r="B82" s="2"/>
      <x:c r="C82" s="2"/>
      <x:c r="D82" s="2"/>
      <x:c r="E82" s="2"/>
      <x:c r="F82" s="2"/>
    </x:row>
    <x:row r="83" ht="24" customHeight="1">
      <x:c r="A83" s="2"/>
      <x:c r="B83" s="2"/>
      <x:c r="C83" s="2"/>
      <x:c r="D83" s="2"/>
      <x:c r="E83" s="2"/>
      <x:c r="F83" s="2"/>
    </x:row>
    <x:row r="84" ht="24" customHeight="1">
      <x:c r="A84" s="2"/>
      <x:c r="B84" s="2"/>
      <x:c r="C84" s="2"/>
      <x:c r="D84" s="2"/>
      <x:c r="E84" s="2"/>
      <x:c r="F84" s="2"/>
    </x:row>
    <x:row r="85" ht="24" customHeight="1">
      <x:c r="A85" s="2"/>
      <x:c r="B85" s="2"/>
      <x:c r="C85" s="2"/>
      <x:c r="D85" s="2"/>
      <x:c r="E85" s="2"/>
      <x:c r="F85" s="2"/>
    </x:row>
    <x:row r="86" ht="24" customHeight="1">
      <x:c r="A86" s="2"/>
      <x:c r="B86" s="2"/>
      <x:c r="C86" s="2"/>
      <x:c r="D86" s="2"/>
      <x:c r="E86" s="2"/>
      <x:c r="F86" s="2"/>
    </x:row>
    <x:row r="87" ht="24" customHeight="1">
      <x:c r="A87" s="2"/>
      <x:c r="B87" s="2"/>
      <x:c r="C87" s="2"/>
      <x:c r="D87" s="2"/>
      <x:c r="E87" s="2"/>
      <x:c r="F87" s="2"/>
    </x:row>
    <x:row r="88" ht="24" customHeight="1">
      <x:c r="A88" s="2"/>
      <x:c r="B88" s="2"/>
      <x:c r="C88" s="2"/>
      <x:c r="D88" s="2"/>
      <x:c r="E88" s="2"/>
      <x:c r="F88" s="2"/>
    </x:row>
    <x:row r="89" ht="24" customHeight="1">
      <x:c r="A89" s="2"/>
      <x:c r="B89" s="2"/>
      <x:c r="C89" s="2"/>
      <x:c r="D89" s="2"/>
      <x:c r="E89" s="2"/>
      <x:c r="F89" s="2"/>
    </x:row>
    <x:row r="90" ht="24" customHeight="1">
      <x:c r="A90" s="2"/>
      <x:c r="B90" s="2"/>
      <x:c r="C90" s="2"/>
      <x:c r="D90" s="2"/>
      <x:c r="E90" s="2"/>
      <x:c r="F90" s="2"/>
    </x:row>
    <x:row r="91" ht="24" customHeight="1">
      <x:c r="A91" s="2"/>
      <x:c r="B91" s="2"/>
      <x:c r="C91" s="2"/>
      <x:c r="D91" s="2"/>
      <x:c r="E91" s="2"/>
      <x:c r="F91" s="2"/>
    </x:row>
    <x:row r="92" ht="24" customHeight="1">
      <x:c r="A92" s="2"/>
      <x:c r="B92" s="2"/>
      <x:c r="C92" s="2"/>
      <x:c r="D92" s="2"/>
      <x:c r="E92" s="2"/>
      <x:c r="F92" s="2"/>
    </x:row>
    <x:row r="93" ht="24" customHeight="1">
      <x:c r="A93" s="2"/>
      <x:c r="B93" s="2"/>
      <x:c r="C93" s="2"/>
      <x:c r="D93" s="2"/>
      <x:c r="E93" s="2"/>
      <x:c r="F93" s="2"/>
    </x:row>
    <x:row r="94" ht="24" customHeight="1">
      <x:c r="A94" s="2"/>
      <x:c r="B94" s="2"/>
      <x:c r="C94" s="2"/>
      <x:c r="D94" s="2"/>
      <x:c r="E94" s="2"/>
      <x:c r="F94" s="2"/>
    </x:row>
    <x:row r="95" ht="24" customHeight="1">
      <x:c r="A95" s="2"/>
      <x:c r="B95" s="2"/>
      <x:c r="C95" s="2"/>
      <x:c r="D95" s="2"/>
      <x:c r="E95" s="2"/>
      <x:c r="F95" s="2"/>
    </x:row>
  </x:sheetData>
  <x:conditionalFormatting sqref="B15:E19">
    <x:cfRule type="colorScale" priority="1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conditionalFormatting sqref="B30:E31">
    <x:cfRule type="colorScale" priority="2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conditionalFormatting sqref="B42:E43">
    <x:cfRule type="colorScale" priority="3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conditionalFormatting sqref="B56:E59">
    <x:cfRule type="colorScale" priority="4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고객 특성별 가입특약</x:v>
      </x:c>
      <x:c r="B2" s="5"/>
      <x:c r="C2" s="5"/>
      <x:c r="D2" s="5"/>
      <x:c r="E2" s="5"/>
      <x:c r="F2" s="5"/>
      <x:c r="G2" s="5"/>
      <x:c r="H2" s="5"/>
    </x:row>
    <x:row r="3" ht="24" customHeight="1">
      <x:c r="A3" s="2" t="str">
        <x:v>각 분류의 고객수를 분모로 비중을 계산. 합계는 1,000명. 표본이 작은 자녀 3명 이상은 11명.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24" customHeight="1">
      <x:c r="A5" s="13" t="str">
        <x:v>연령대별 고객수 (명)</x:v>
      </x:c>
      <x:c r="B5" s="2"/>
      <x:c r="C5" s="2"/>
      <x:c r="D5" s="2"/>
      <x:c r="E5" s="2"/>
      <x:c r="F5" s="2"/>
      <x:c r="G5" s="2"/>
      <x:c r="H5" s="2"/>
    </x:row>
    <x:row r="6" ht="36" customHeight="1">
      <x:c r="A6" s="11" t="str">
        <x:v>연령대</x:v>
      </x:c>
      <x:c r="B6" s="11" t="str">
        <x:v>가족 수입 보장 특약</x:v>
      </x:c>
      <x:c r="C6" s="11" t="str">
        <x:v>수술비 보장 특약</x:v>
      </x:c>
      <x:c r="D6" s="11" t="str">
        <x:v>중증질환 산정특례 보장 특약</x:v>
      </x:c>
      <x:c r="E6" s="11" t="str">
        <x:v>표적항암약물허가치료 특약</x:v>
      </x:c>
      <x:c r="F6" s="11" t="str">
        <x:v>선택 안함</x:v>
      </x:c>
      <x:c r="G6" s="11" t="str">
        <x:v>특약 없음</x:v>
      </x:c>
      <x:c r="H6" s="11" t="str">
        <x:v>합계</x:v>
      </x:c>
    </x:row>
    <x:row r="7" ht="25" customHeight="1">
      <x:c r="A7" s="12" t="str">
        <x:v>20대</x:v>
      </x:c>
      <x:c r="B7" s="19" t="n">
        <x:f>COUNTIFS('고객데이터'!$C$5:$C$1004,$A7,'고객데이터'!$O$5:$O$1004,B$6)</x:f>
        <x:v>9</x:v>
      </x:c>
      <x:c r="C7" s="19" t="n">
        <x:f>COUNTIFS('고객데이터'!$C$5:$C$1004,$A7,'고객데이터'!$O$5:$O$1004,C$6)</x:f>
        <x:v>41</x:v>
      </x:c>
      <x:c r="D7" s="19" t="n">
        <x:f>COUNTIFS('고객데이터'!$C$5:$C$1004,$A7,'고객데이터'!$O$5:$O$1004,D$6)</x:f>
        <x:v>22</x:v>
      </x:c>
      <x:c r="E7" s="19" t="n">
        <x:f>COUNTIFS('고객데이터'!$C$5:$C$1004,$A7,'고객데이터'!$O$5:$O$1004,E$6)</x:f>
        <x:v>37</x:v>
      </x:c>
      <x:c r="F7" s="19" t="n">
        <x:f>COUNTIFS('고객데이터'!$C$5:$C$1004,$A7,'고객데이터'!$O$5:$O$1004,F$6)</x:f>
        <x:v>36</x:v>
      </x:c>
      <x:c r="G7" s="19" t="n">
        <x:f>COUNTIFS('고객데이터'!$C$5:$C$1004,$A7,'고객데이터'!$O$5:$O$1004,G$6)</x:f>
        <x:v>75</x:v>
      </x:c>
      <x:c r="H7" s="19" t="n">
        <x:f>SUM(B7:G7)</x:f>
        <x:v>220</x:v>
      </x:c>
    </x:row>
    <x:row r="8" ht="25" customHeight="1">
      <x:c r="A8" s="2" t="str">
        <x:v>30대</x:v>
      </x:c>
      <x:c r="B8" s="7" t="n">
        <x:f>COUNTIFS('고객데이터'!$C$5:$C$1004,$A8,'고객데이터'!$O$5:$O$1004,B$6)</x:f>
        <x:v>52</x:v>
      </x:c>
      <x:c r="C8" s="7" t="n">
        <x:f>COUNTIFS('고객데이터'!$C$5:$C$1004,$A8,'고객데이터'!$O$5:$O$1004,C$6)</x:f>
        <x:v>37</x:v>
      </x:c>
      <x:c r="D8" s="7" t="n">
        <x:f>COUNTIFS('고객데이터'!$C$5:$C$1004,$A8,'고객데이터'!$O$5:$O$1004,D$6)</x:f>
        <x:v>31</x:v>
      </x:c>
      <x:c r="E8" s="7" t="n">
        <x:f>COUNTIFS('고객데이터'!$C$5:$C$1004,$A8,'고객데이터'!$O$5:$O$1004,E$6)</x:f>
        <x:v>28</x:v>
      </x:c>
      <x:c r="F8" s="7" t="n">
        <x:f>COUNTIFS('고객데이터'!$C$5:$C$1004,$A8,'고객데이터'!$O$5:$O$1004,F$6)</x:f>
        <x:v>32</x:v>
      </x:c>
      <x:c r="G8" s="7" t="n">
        <x:f>COUNTIFS('고객데이터'!$C$5:$C$1004,$A8,'고객데이터'!$O$5:$O$1004,G$6)</x:f>
        <x:v>22</x:v>
      </x:c>
      <x:c r="H8" s="7" t="n">
        <x:f>SUM(B8:G8)</x:f>
        <x:v>202</x:v>
      </x:c>
    </x:row>
    <x:row r="9" ht="25" customHeight="1">
      <x:c r="A9" s="12" t="str">
        <x:v>40대</x:v>
      </x:c>
      <x:c r="B9" s="19" t="n">
        <x:f>COUNTIFS('고객데이터'!$C$5:$C$1004,$A9,'고객데이터'!$O$5:$O$1004,B$6)</x:f>
        <x:v>65</x:v>
      </x:c>
      <x:c r="C9" s="19" t="n">
        <x:f>COUNTIFS('고객데이터'!$C$5:$C$1004,$A9,'고객데이터'!$O$5:$O$1004,C$6)</x:f>
        <x:v>15</x:v>
      </x:c>
      <x:c r="D9" s="19" t="n">
        <x:f>COUNTIFS('고객데이터'!$C$5:$C$1004,$A9,'고객데이터'!$O$5:$O$1004,D$6)</x:f>
        <x:v>48</x:v>
      </x:c>
      <x:c r="E9" s="19" t="n">
        <x:f>COUNTIFS('고객데이터'!$C$5:$C$1004,$A9,'고객데이터'!$O$5:$O$1004,E$6)</x:f>
        <x:v>41</x:v>
      </x:c>
      <x:c r="F9" s="19" t="n">
        <x:f>COUNTIFS('고객데이터'!$C$5:$C$1004,$A9,'고객데이터'!$O$5:$O$1004,F$6)</x:f>
        <x:v>36</x:v>
      </x:c>
      <x:c r="G9" s="19" t="n">
        <x:f>COUNTIFS('고객데이터'!$C$5:$C$1004,$A9,'고객데이터'!$O$5:$O$1004,G$6)</x:f>
        <x:v>30</x:v>
      </x:c>
      <x:c r="H9" s="19" t="n">
        <x:f>SUM(B9:G9)</x:f>
        <x:v>235</x:v>
      </x:c>
    </x:row>
    <x:row r="10" ht="25" customHeight="1">
      <x:c r="A10" s="2" t="str">
        <x:v>50대</x:v>
      </x:c>
      <x:c r="B10" s="7" t="n">
        <x:f>COUNTIFS('고객데이터'!$C$5:$C$1004,$A10,'고객데이터'!$O$5:$O$1004,B$6)</x:f>
        <x:v>16</x:v>
      </x:c>
      <x:c r="C10" s="7" t="n">
        <x:f>COUNTIFS('고객데이터'!$C$5:$C$1004,$A10,'고객데이터'!$O$5:$O$1004,C$6)</x:f>
        <x:v>8</x:v>
      </x:c>
      <x:c r="D10" s="7" t="n">
        <x:f>COUNTIFS('고객데이터'!$C$5:$C$1004,$A10,'고객데이터'!$O$5:$O$1004,D$6)</x:f>
        <x:v>82</x:v>
      </x:c>
      <x:c r="E10" s="7" t="n">
        <x:f>COUNTIFS('고객데이터'!$C$5:$C$1004,$A10,'고객데이터'!$O$5:$O$1004,E$6)</x:f>
        <x:v>56</x:v>
      </x:c>
      <x:c r="F10" s="7" t="n">
        <x:f>COUNTIFS('고객데이터'!$C$5:$C$1004,$A10,'고객데이터'!$O$5:$O$1004,F$6)</x:f>
        <x:v>20</x:v>
      </x:c>
      <x:c r="G10" s="7" t="n">
        <x:f>COUNTIFS('고객데이터'!$C$5:$C$1004,$A10,'고객데이터'!$O$5:$O$1004,G$6)</x:f>
        <x:v>52</x:v>
      </x:c>
      <x:c r="H10" s="7" t="n">
        <x:f>SUM(B10:G10)</x:f>
        <x:v>234</x:v>
      </x:c>
    </x:row>
    <x:row r="11" ht="25" customHeight="1">
      <x:c r="A11" s="12" t="str">
        <x:v>60대</x:v>
      </x:c>
      <x:c r="B11" s="19" t="n">
        <x:f>COUNTIFS('고객데이터'!$C$5:$C$1004,$A11,'고객데이터'!$O$5:$O$1004,B$6)</x:f>
        <x:v>7</x:v>
      </x:c>
      <x:c r="C11" s="19" t="n">
        <x:f>COUNTIFS('고객데이터'!$C$5:$C$1004,$A11,'고객데이터'!$O$5:$O$1004,C$6)</x:f>
        <x:v>5</x:v>
      </x:c>
      <x:c r="D11" s="19" t="n">
        <x:f>COUNTIFS('고객데이터'!$C$5:$C$1004,$A11,'고객데이터'!$O$5:$O$1004,D$6)</x:f>
        <x:v>29</x:v>
      </x:c>
      <x:c r="E11" s="19" t="n">
        <x:f>COUNTIFS('고객데이터'!$C$5:$C$1004,$A11,'고객데이터'!$O$5:$O$1004,E$6)</x:f>
        <x:v>21</x:v>
      </x:c>
      <x:c r="F11" s="19" t="n">
        <x:f>COUNTIFS('고객데이터'!$C$5:$C$1004,$A11,'고객데이터'!$O$5:$O$1004,F$6)</x:f>
        <x:v>19</x:v>
      </x:c>
      <x:c r="G11" s="19" t="n">
        <x:f>COUNTIFS('고객데이터'!$C$5:$C$1004,$A11,'고객데이터'!$O$5:$O$1004,G$6)</x:f>
        <x:v>28</x:v>
      </x:c>
      <x:c r="H11" s="19" t="n">
        <x:f>SUM(B11:G11)</x:f>
        <x:v>109</x:v>
      </x:c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24" customHeight="1">
      <x:c r="A13" s="13" t="str">
        <x:v>연령대별 구성비 (행 기준)</x:v>
      </x:c>
      <x:c r="B13" s="2"/>
      <x:c r="C13" s="2"/>
      <x:c r="D13" s="2"/>
      <x:c r="E13" s="2"/>
      <x:c r="F13" s="2"/>
      <x:c r="G13" s="2"/>
      <x:c r="H13" s="2"/>
    </x:row>
    <x:row r="14" ht="36" customHeight="1">
      <x:c r="A14" s="11" t="str">
        <x:v>연령대</x:v>
      </x:c>
      <x:c r="B14" s="11" t="str">
        <x:v>가족 수입 보장 특약</x:v>
      </x:c>
      <x:c r="C14" s="11" t="str">
        <x:v>수술비 보장 특약</x:v>
      </x:c>
      <x:c r="D14" s="11" t="str">
        <x:v>중증질환 산정특례 보장 특약</x:v>
      </x:c>
      <x:c r="E14" s="11" t="str">
        <x:v>표적항암약물허가치료 특약</x:v>
      </x:c>
      <x:c r="F14" s="11" t="str">
        <x:v>선택 안함</x:v>
      </x:c>
      <x:c r="G14" s="11" t="str">
        <x:v>특약 없음</x:v>
      </x:c>
      <x:c r="H14" s="11" t="str">
        <x:v>합계</x:v>
      </x:c>
    </x:row>
    <x:row r="15" ht="25" customHeight="1">
      <x:c r="A15" s="12" t="str">
        <x:v>20대</x:v>
      </x:c>
      <x:c r="B15" s="15" t="n">
        <x:f>IF($H7=0,"n.a.",B7/$H7)</x:f>
        <x:v>0.04090909090909091</x:v>
      </x:c>
      <x:c r="C15" s="15" t="n">
        <x:f>IF($H7=0,"n.a.",C7/$H7)</x:f>
        <x:v>0.18636363636363637</x:v>
      </x:c>
      <x:c r="D15" s="15" t="n">
        <x:f>IF($H7=0,"n.a.",D7/$H7)</x:f>
        <x:v>0.1</x:v>
      </x:c>
      <x:c r="E15" s="15" t="n">
        <x:f>IF($H7=0,"n.a.",E7/$H7)</x:f>
        <x:v>0.16818181818181818</x:v>
      </x:c>
      <x:c r="F15" s="15" t="n">
        <x:f>IF($H7=0,"n.a.",F7/$H7)</x:f>
        <x:v>0.16363636363636364</x:v>
      </x:c>
      <x:c r="G15" s="15" t="n">
        <x:f>IF($H7=0,"n.a.",G7/$H7)</x:f>
        <x:v>0.3409090909090909</x:v>
      </x:c>
      <x:c r="H15" s="15" t="n">
        <x:f>SUM(B15:G15)</x:f>
        <x:v>1</x:v>
      </x:c>
    </x:row>
    <x:row r="16" ht="25" customHeight="1">
      <x:c r="A16" s="2" t="str">
        <x:v>30대</x:v>
      </x:c>
      <x:c r="B16" s="16" t="n">
        <x:f>IF($H8=0,"n.a.",B8/$H8)</x:f>
        <x:v>0.25742574257425743</x:v>
      </x:c>
      <x:c r="C16" s="16" t="n">
        <x:f>IF($H8=0,"n.a.",C8/$H8)</x:f>
        <x:v>0.18316831683168316</x:v>
      </x:c>
      <x:c r="D16" s="16" t="n">
        <x:f>IF($H8=0,"n.a.",D8/$H8)</x:f>
        <x:v>0.15346534653465346</x:v>
      </x:c>
      <x:c r="E16" s="16" t="n">
        <x:f>IF($H8=0,"n.a.",E8/$H8)</x:f>
        <x:v>0.13861386138613863</x:v>
      </x:c>
      <x:c r="F16" s="16" t="n">
        <x:f>IF($H8=0,"n.a.",F8/$H8)</x:f>
        <x:v>0.15841584158415842</x:v>
      </x:c>
      <x:c r="G16" s="16" t="n">
        <x:f>IF($H8=0,"n.a.",G8/$H8)</x:f>
        <x:v>0.10891089108910891</x:v>
      </x:c>
      <x:c r="H16" s="16" t="n">
        <x:f>SUM(B16:G16)</x:f>
        <x:v>1</x:v>
      </x:c>
    </x:row>
    <x:row r="17" ht="25" customHeight="1">
      <x:c r="A17" s="12" t="str">
        <x:v>40대</x:v>
      </x:c>
      <x:c r="B17" s="15" t="n">
        <x:f>IF($H9=0,"n.a.",B9/$H9)</x:f>
        <x:v>0.2765957446808511</x:v>
      </x:c>
      <x:c r="C17" s="15" t="n">
        <x:f>IF($H9=0,"n.a.",C9/$H9)</x:f>
        <x:v>0.06382978723404255</x:v>
      </x:c>
      <x:c r="D17" s="15" t="n">
        <x:f>IF($H9=0,"n.a.",D9/$H9)</x:f>
        <x:v>0.20425531914893616</x:v>
      </x:c>
      <x:c r="E17" s="15" t="n">
        <x:f>IF($H9=0,"n.a.",E9/$H9)</x:f>
        <x:v>0.17446808510638298</x:v>
      </x:c>
      <x:c r="F17" s="15" t="n">
        <x:f>IF($H9=0,"n.a.",F9/$H9)</x:f>
        <x:v>0.15319148936170213</x:v>
      </x:c>
      <x:c r="G17" s="15" t="n">
        <x:f>IF($H9=0,"n.a.",G9/$H9)</x:f>
        <x:v>0.1276595744680851</x:v>
      </x:c>
      <x:c r="H17" s="15" t="n">
        <x:f>SUM(B17:G17)</x:f>
        <x:v>1</x:v>
      </x:c>
    </x:row>
    <x:row r="18" ht="25" customHeight="1">
      <x:c r="A18" s="2" t="str">
        <x:v>50대</x:v>
      </x:c>
      <x:c r="B18" s="16" t="n">
        <x:f>IF($H10=0,"n.a.",B10/$H10)</x:f>
        <x:v>0.06837606837606838</x:v>
      </x:c>
      <x:c r="C18" s="16" t="n">
        <x:f>IF($H10=0,"n.a.",C10/$H10)</x:f>
        <x:v>0.03418803418803419</x:v>
      </x:c>
      <x:c r="D18" s="16" t="n">
        <x:f>IF($H10=0,"n.a.",D10/$H10)</x:f>
        <x:v>0.3504273504273504</x:v>
      </x:c>
      <x:c r="E18" s="16" t="n">
        <x:f>IF($H10=0,"n.a.",E10/$H10)</x:f>
        <x:v>0.23931623931623933</x:v>
      </x:c>
      <x:c r="F18" s="16" t="n">
        <x:f>IF($H10=0,"n.a.",F10/$H10)</x:f>
        <x:v>0.08547008547008547</x:v>
      </x:c>
      <x:c r="G18" s="16" t="n">
        <x:f>IF($H10=0,"n.a.",G10/$H10)</x:f>
        <x:v>0.2222222222222222</x:v>
      </x:c>
      <x:c r="H18" s="16" t="n">
        <x:f>SUM(B18:G18)</x:f>
        <x:v>1</x:v>
      </x:c>
    </x:row>
    <x:row r="19" ht="25" customHeight="1">
      <x:c r="A19" s="12" t="str">
        <x:v>60대</x:v>
      </x:c>
      <x:c r="B19" s="15" t="n">
        <x:f>IF($H11=0,"n.a.",B11/$H11)</x:f>
        <x:v>0.06422018348623854</x:v>
      </x:c>
      <x:c r="C19" s="15" t="n">
        <x:f>IF($H11=0,"n.a.",C11/$H11)</x:f>
        <x:v>0.045871559633027525</x:v>
      </x:c>
      <x:c r="D19" s="15" t="n">
        <x:f>IF($H11=0,"n.a.",D11/$H11)</x:f>
        <x:v>0.26605504587155965</x:v>
      </x:c>
      <x:c r="E19" s="15" t="n">
        <x:f>IF($H11=0,"n.a.",E11/$H11)</x:f>
        <x:v>0.1926605504587156</x:v>
      </x:c>
      <x:c r="F19" s="15" t="n">
        <x:f>IF($H11=0,"n.a.",F11/$H11)</x:f>
        <x:v>0.1743119266055046</x:v>
      </x:c>
      <x:c r="G19" s="15" t="n">
        <x:f>IF($H11=0,"n.a.",G11/$H11)</x:f>
        <x:v>0.25688073394495414</x:v>
      </x:c>
      <x:c r="H19" s="15" t="n">
        <x:f>SUM(B19:G19)</x:f>
        <x:v>1</x:v>
      </x:c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13" t="str">
        <x:v>흡연여부별 고객수 (명)</x:v>
      </x:c>
      <x:c r="B23" s="2"/>
      <x:c r="C23" s="2"/>
      <x:c r="D23" s="2"/>
      <x:c r="E23" s="2"/>
      <x:c r="F23" s="2"/>
      <x:c r="G23" s="2"/>
      <x:c r="H23" s="2"/>
    </x:row>
    <x:row r="24" ht="36" customHeight="1">
      <x:c r="A24" s="11" t="str">
        <x:v>흡연여부</x:v>
      </x:c>
      <x:c r="B24" s="11" t="str">
        <x:v>가족 수입 보장 특약</x:v>
      </x:c>
      <x:c r="C24" s="11" t="str">
        <x:v>수술비 보장 특약</x:v>
      </x:c>
      <x:c r="D24" s="11" t="str">
        <x:v>중증질환 산정특례 보장 특약</x:v>
      </x:c>
      <x:c r="E24" s="11" t="str">
        <x:v>표적항암약물허가치료 특약</x:v>
      </x:c>
      <x:c r="F24" s="11" t="str">
        <x:v>선택 안함</x:v>
      </x:c>
      <x:c r="G24" s="11" t="str">
        <x:v>특약 없음</x:v>
      </x:c>
      <x:c r="H24" s="11" t="str">
        <x:v>합계</x:v>
      </x:c>
    </x:row>
    <x:row r="25" ht="25" customHeight="1">
      <x:c r="A25" s="12" t="str">
        <x:v>비흡연</x:v>
      </x:c>
      <x:c r="B25" s="19" t="n">
        <x:f>COUNTIFS('고객데이터'!$J$5:$J$1004,$A25,'고객데이터'!$O$5:$O$1004,B$24)</x:f>
        <x:v>121</x:v>
      </x:c>
      <x:c r="C25" s="19" t="n">
        <x:f>COUNTIFS('고객데이터'!$J$5:$J$1004,$A25,'고객데이터'!$O$5:$O$1004,C$24)</x:f>
        <x:v>74</x:v>
      </x:c>
      <x:c r="D25" s="19" t="n">
        <x:f>COUNTIFS('고객데이터'!$J$5:$J$1004,$A25,'고객데이터'!$O$5:$O$1004,D$24)</x:f>
        <x:v>159</x:v>
      </x:c>
      <x:c r="E25" s="19" t="n">
        <x:f>COUNTIFS('고객데이터'!$J$5:$J$1004,$A25,'고객데이터'!$O$5:$O$1004,E$24)</x:f>
        <x:v>135</x:v>
      </x:c>
      <x:c r="F25" s="19" t="n">
        <x:f>COUNTIFS('고객데이터'!$J$5:$J$1004,$A25,'고객데이터'!$O$5:$O$1004,F$24)</x:f>
        <x:v>106</x:v>
      </x:c>
      <x:c r="G25" s="19" t="n">
        <x:f>COUNTIFS('고객데이터'!$J$5:$J$1004,$A25,'고객데이터'!$O$5:$O$1004,G$24)</x:f>
        <x:v>171</x:v>
      </x:c>
      <x:c r="H25" s="19" t="n">
        <x:f>SUM(B25:G25)</x:f>
        <x:v>766</x:v>
      </x:c>
    </x:row>
    <x:row r="26" ht="25" customHeight="1">
      <x:c r="A26" s="2" t="str">
        <x:v>흡연</x:v>
      </x:c>
      <x:c r="B26" s="7" t="n">
        <x:f>COUNTIFS('고객데이터'!$J$5:$J$1004,$A26,'고객데이터'!$O$5:$O$1004,B$24)</x:f>
        <x:v>28</x:v>
      </x:c>
      <x:c r="C26" s="7" t="n">
        <x:f>COUNTIFS('고객데이터'!$J$5:$J$1004,$A26,'고객데이터'!$O$5:$O$1004,C$24)</x:f>
        <x:v>32</x:v>
      </x:c>
      <x:c r="D26" s="7" t="n">
        <x:f>COUNTIFS('고객데이터'!$J$5:$J$1004,$A26,'고객데이터'!$O$5:$O$1004,D$24)</x:f>
        <x:v>53</x:v>
      </x:c>
      <x:c r="E26" s="7" t="n">
        <x:f>COUNTIFS('고객데이터'!$J$5:$J$1004,$A26,'고객데이터'!$O$5:$O$1004,E$24)</x:f>
        <x:v>48</x:v>
      </x:c>
      <x:c r="F26" s="7" t="n">
        <x:f>COUNTIFS('고객데이터'!$J$5:$J$1004,$A26,'고객데이터'!$O$5:$O$1004,F$24)</x:f>
        <x:v>37</x:v>
      </x:c>
      <x:c r="G26" s="7" t="n">
        <x:f>COUNTIFS('고객데이터'!$J$5:$J$1004,$A26,'고객데이터'!$O$5:$O$1004,G$24)</x:f>
        <x:v>36</x:v>
      </x:c>
      <x:c r="H26" s="7" t="n">
        <x:f>SUM(B26:G26)</x:f>
        <x:v>234</x:v>
      </x:c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13" t="str">
        <x:v>흡연여부별 구성비 (행 기준)</x:v>
      </x:c>
      <x:c r="B28" s="2"/>
      <x:c r="C28" s="2"/>
      <x:c r="D28" s="2"/>
      <x:c r="E28" s="2"/>
      <x:c r="F28" s="2"/>
      <x:c r="G28" s="2"/>
      <x:c r="H28" s="2"/>
    </x:row>
    <x:row r="29" ht="36" customHeight="1">
      <x:c r="A29" s="11" t="str">
        <x:v>흡연여부</x:v>
      </x:c>
      <x:c r="B29" s="11" t="str">
        <x:v>가족 수입 보장 특약</x:v>
      </x:c>
      <x:c r="C29" s="11" t="str">
        <x:v>수술비 보장 특약</x:v>
      </x:c>
      <x:c r="D29" s="11" t="str">
        <x:v>중증질환 산정특례 보장 특약</x:v>
      </x:c>
      <x:c r="E29" s="11" t="str">
        <x:v>표적항암약물허가치료 특약</x:v>
      </x:c>
      <x:c r="F29" s="11" t="str">
        <x:v>선택 안함</x:v>
      </x:c>
      <x:c r="G29" s="11" t="str">
        <x:v>특약 없음</x:v>
      </x:c>
      <x:c r="H29" s="11" t="str">
        <x:v>합계</x:v>
      </x:c>
    </x:row>
    <x:row r="30" ht="25" customHeight="1">
      <x:c r="A30" s="12" t="str">
        <x:v>비흡연</x:v>
      </x:c>
      <x:c r="B30" s="15" t="n">
        <x:f>IF($H25=0,"n.a.",B25/$H25)</x:f>
        <x:v>0.15796344647519583</x:v>
      </x:c>
      <x:c r="C30" s="15" t="n">
        <x:f>IF($H25=0,"n.a.",C25/$H25)</x:f>
        <x:v>0.09660574412532637</x:v>
      </x:c>
      <x:c r="D30" s="15" t="n">
        <x:f>IF($H25=0,"n.a.",D25/$H25)</x:f>
        <x:v>0.20757180156657964</x:v>
      </x:c>
      <x:c r="E30" s="15" t="n">
        <x:f>IF($H25=0,"n.a.",E25/$H25)</x:f>
        <x:v>0.1762402088772846</x:v>
      </x:c>
      <x:c r="F30" s="15" t="n">
        <x:f>IF($H25=0,"n.a.",F25/$H25)</x:f>
        <x:v>0.13838120104438642</x:v>
      </x:c>
      <x:c r="G30" s="15" t="n">
        <x:f>IF($H25=0,"n.a.",G25/$H25)</x:f>
        <x:v>0.22323759791122716</x:v>
      </x:c>
      <x:c r="H30" s="15" t="n">
        <x:f>SUM(B30:G30)</x:f>
        <x:v>1</x:v>
      </x:c>
    </x:row>
    <x:row r="31" ht="25" customHeight="1">
      <x:c r="A31" s="2" t="str">
        <x:v>흡연</x:v>
      </x:c>
      <x:c r="B31" s="16" t="n">
        <x:f>IF($H26=0,"n.a.",B26/$H26)</x:f>
        <x:v>0.11965811965811966</x:v>
      </x:c>
      <x:c r="C31" s="16" t="n">
        <x:f>IF($H26=0,"n.a.",C26/$H26)</x:f>
        <x:v>0.13675213675213677</x:v>
      </x:c>
      <x:c r="D31" s="16" t="n">
        <x:f>IF($H26=0,"n.a.",D26/$H26)</x:f>
        <x:v>0.2264957264957265</x:v>
      </x:c>
      <x:c r="E31" s="16" t="n">
        <x:f>IF($H26=0,"n.a.",E26/$H26)</x:f>
        <x:v>0.20512820512820512</x:v>
      </x:c>
      <x:c r="F31" s="16" t="n">
        <x:f>IF($H26=0,"n.a.",F26/$H26)</x:f>
        <x:v>0.1581196581196581</x:v>
      </x:c>
      <x:c r="G31" s="16" t="n">
        <x:f>IF($H26=0,"n.a.",G26/$H26)</x:f>
        <x:v>0.15384615384615385</x:v>
      </x:c>
      <x:c r="H31" s="16" t="n">
        <x:f>SUM(B31:G31)</x:f>
        <x:v>1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13" t="str">
        <x:v>결혼여부별 고객수 (명)</x:v>
      </x:c>
      <x:c r="B35" s="2"/>
      <x:c r="C35" s="2"/>
      <x:c r="D35" s="2"/>
      <x:c r="E35" s="2"/>
      <x:c r="F35" s="2"/>
      <x:c r="G35" s="2"/>
      <x:c r="H35" s="2"/>
    </x:row>
    <x:row r="36" ht="36" customHeight="1">
      <x:c r="A36" s="11" t="str">
        <x:v>결혼여부</x:v>
      </x:c>
      <x:c r="B36" s="11" t="str">
        <x:v>가족 수입 보장 특약</x:v>
      </x:c>
      <x:c r="C36" s="11" t="str">
        <x:v>수술비 보장 특약</x:v>
      </x:c>
      <x:c r="D36" s="11" t="str">
        <x:v>중증질환 산정특례 보장 특약</x:v>
      </x:c>
      <x:c r="E36" s="11" t="str">
        <x:v>표적항암약물허가치료 특약</x:v>
      </x:c>
      <x:c r="F36" s="11" t="str">
        <x:v>선택 안함</x:v>
      </x:c>
      <x:c r="G36" s="11" t="str">
        <x:v>특약 없음</x:v>
      </x:c>
      <x:c r="H36" s="11" t="str">
        <x:v>합계</x:v>
      </x:c>
    </x:row>
    <x:row r="37" ht="25" customHeight="1">
      <x:c r="A37" s="12" t="str">
        <x:v>미혼</x:v>
      </x:c>
      <x:c r="B37" s="19" t="n">
        <x:f>COUNTIFS('고객데이터'!$G$5:$G$1004,$A37,'고객데이터'!$O$5:$O$1004,B$36)</x:f>
        <x:v>14</x:v>
      </x:c>
      <x:c r="C37" s="19" t="n">
        <x:f>COUNTIFS('고객데이터'!$G$5:$G$1004,$A37,'고객데이터'!$O$5:$O$1004,C$36)</x:f>
        <x:v>49</x:v>
      </x:c>
      <x:c r="D37" s="19" t="n">
        <x:f>COUNTIFS('고객데이터'!$G$5:$G$1004,$A37,'고객데이터'!$O$5:$O$1004,D$36)</x:f>
        <x:v>51</x:v>
      </x:c>
      <x:c r="E37" s="19" t="n">
        <x:f>COUNTIFS('고객데이터'!$G$5:$G$1004,$A37,'고객데이터'!$O$5:$O$1004,E$36)</x:f>
        <x:v>50</x:v>
      </x:c>
      <x:c r="F37" s="19" t="n">
        <x:f>COUNTIFS('고객데이터'!$G$5:$G$1004,$A37,'고객데이터'!$O$5:$O$1004,F$36)</x:f>
        <x:v>50</x:v>
      </x:c>
      <x:c r="G37" s="19" t="n">
        <x:f>COUNTIFS('고객데이터'!$G$5:$G$1004,$A37,'고객데이터'!$O$5:$O$1004,G$36)</x:f>
        <x:v>123</x:v>
      </x:c>
      <x:c r="H37" s="19" t="n">
        <x:f>SUM(B37:G37)</x:f>
        <x:v>337</x:v>
      </x:c>
    </x:row>
    <x:row r="38" ht="25" customHeight="1">
      <x:c r="A38" s="2" t="str">
        <x:v>기혼</x:v>
      </x:c>
      <x:c r="B38" s="7" t="n">
        <x:f>COUNTIFS('고객데이터'!$G$5:$G$1004,$A38,'고객데이터'!$O$5:$O$1004,B$36)</x:f>
        <x:v>135</x:v>
      </x:c>
      <x:c r="C38" s="7" t="n">
        <x:f>COUNTIFS('고객데이터'!$G$5:$G$1004,$A38,'고객데이터'!$O$5:$O$1004,C$36)</x:f>
        <x:v>57</x:v>
      </x:c>
      <x:c r="D38" s="7" t="n">
        <x:f>COUNTIFS('고객데이터'!$G$5:$G$1004,$A38,'고객데이터'!$O$5:$O$1004,D$36)</x:f>
        <x:v>161</x:v>
      </x:c>
      <x:c r="E38" s="7" t="n">
        <x:f>COUNTIFS('고객데이터'!$G$5:$G$1004,$A38,'고객데이터'!$O$5:$O$1004,E$36)</x:f>
        <x:v>133</x:v>
      </x:c>
      <x:c r="F38" s="7" t="n">
        <x:f>COUNTIFS('고객데이터'!$G$5:$G$1004,$A38,'고객데이터'!$O$5:$O$1004,F$36)</x:f>
        <x:v>93</x:v>
      </x:c>
      <x:c r="G38" s="7" t="n">
        <x:f>COUNTIFS('고객데이터'!$G$5:$G$1004,$A38,'고객데이터'!$O$5:$O$1004,G$36)</x:f>
        <x:v>84</x:v>
      </x:c>
      <x:c r="H38" s="7" t="n">
        <x:f>SUM(B38:G38)</x:f>
        <x:v>663</x:v>
      </x:c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13" t="str">
        <x:v>결혼여부별 구성비 (행 기준)</x:v>
      </x:c>
      <x:c r="B40" s="2"/>
      <x:c r="C40" s="2"/>
      <x:c r="D40" s="2"/>
      <x:c r="E40" s="2"/>
      <x:c r="F40" s="2"/>
      <x:c r="G40" s="2"/>
      <x:c r="H40" s="2"/>
    </x:row>
    <x:row r="41" ht="36" customHeight="1">
      <x:c r="A41" s="11" t="str">
        <x:v>결혼여부</x:v>
      </x:c>
      <x:c r="B41" s="11" t="str">
        <x:v>가족 수입 보장 특약</x:v>
      </x:c>
      <x:c r="C41" s="11" t="str">
        <x:v>수술비 보장 특약</x:v>
      </x:c>
      <x:c r="D41" s="11" t="str">
        <x:v>중증질환 산정특례 보장 특약</x:v>
      </x:c>
      <x:c r="E41" s="11" t="str">
        <x:v>표적항암약물허가치료 특약</x:v>
      </x:c>
      <x:c r="F41" s="11" t="str">
        <x:v>선택 안함</x:v>
      </x:c>
      <x:c r="G41" s="11" t="str">
        <x:v>특약 없음</x:v>
      </x:c>
      <x:c r="H41" s="11" t="str">
        <x:v>합계</x:v>
      </x:c>
    </x:row>
    <x:row r="42" ht="25" customHeight="1">
      <x:c r="A42" s="12" t="str">
        <x:v>미혼</x:v>
      </x:c>
      <x:c r="B42" s="15" t="n">
        <x:f>IF($H37=0,"n.a.",B37/$H37)</x:f>
        <x:v>0.04154302670623145</x:v>
      </x:c>
      <x:c r="C42" s="15" t="n">
        <x:f>IF($H37=0,"n.a.",C37/$H37)</x:f>
        <x:v>0.14540059347181009</x:v>
      </x:c>
      <x:c r="D42" s="15" t="n">
        <x:f>IF($H37=0,"n.a.",D37/$H37)</x:f>
        <x:v>0.1513353115727003</x:v>
      </x:c>
      <x:c r="E42" s="15" t="n">
        <x:f>IF($H37=0,"n.a.",E37/$H37)</x:f>
        <x:v>0.14836795252225518</x:v>
      </x:c>
      <x:c r="F42" s="15" t="n">
        <x:f>IF($H37=0,"n.a.",F37/$H37)</x:f>
        <x:v>0.14836795252225518</x:v>
      </x:c>
      <x:c r="G42" s="15" t="n">
        <x:f>IF($H37=0,"n.a.",G37/$H37)</x:f>
        <x:v>0.3649851632047478</x:v>
      </x:c>
      <x:c r="H42" s="15" t="n">
        <x:f>SUM(B42:G42)</x:f>
        <x:v>1</x:v>
      </x:c>
    </x:row>
    <x:row r="43" ht="25" customHeight="1">
      <x:c r="A43" s="2" t="str">
        <x:v>기혼</x:v>
      </x:c>
      <x:c r="B43" s="16" t="n">
        <x:f>IF($H38=0,"n.a.",B38/$H38)</x:f>
        <x:v>0.20361990950226244</x:v>
      </x:c>
      <x:c r="C43" s="16" t="n">
        <x:f>IF($H38=0,"n.a.",C38/$H38)</x:f>
        <x:v>0.08597285067873303</x:v>
      </x:c>
      <x:c r="D43" s="16" t="n">
        <x:f>IF($H38=0,"n.a.",D38/$H38)</x:f>
        <x:v>0.24283559577677225</x:v>
      </x:c>
      <x:c r="E43" s="16" t="n">
        <x:f>IF($H38=0,"n.a.",E38/$H38)</x:f>
        <x:v>0.20060331825037708</x:v>
      </x:c>
      <x:c r="F43" s="16" t="n">
        <x:f>IF($H38=0,"n.a.",F38/$H38)</x:f>
        <x:v>0.14027149321266968</x:v>
      </x:c>
      <x:c r="G43" s="16" t="n">
        <x:f>IF($H38=0,"n.a.",G38/$H38)</x:f>
        <x:v>0.12669683257918551</x:v>
      </x:c>
      <x:c r="H43" s="16" t="n">
        <x:f>SUM(B43:G43)</x:f>
        <x:v>1</x:v>
      </x:c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13" t="str">
        <x:v>자녀구간별 고객수 (명)</x:v>
      </x:c>
      <x:c r="B47" s="2"/>
      <x:c r="C47" s="2"/>
      <x:c r="D47" s="2"/>
      <x:c r="E47" s="2"/>
      <x:c r="F47" s="2"/>
      <x:c r="G47" s="2"/>
      <x:c r="H47" s="2"/>
    </x:row>
    <x:row r="48" ht="36" customHeight="1">
      <x:c r="A48" s="11" t="str">
        <x:v>자녀구간</x:v>
      </x:c>
      <x:c r="B48" s="11" t="str">
        <x:v>가족 수입 보장 특약</x:v>
      </x:c>
      <x:c r="C48" s="11" t="str">
        <x:v>수술비 보장 특약</x:v>
      </x:c>
      <x:c r="D48" s="11" t="str">
        <x:v>중증질환 산정특례 보장 특약</x:v>
      </x:c>
      <x:c r="E48" s="11" t="str">
        <x:v>표적항암약물허가치료 특약</x:v>
      </x:c>
      <x:c r="F48" s="11" t="str">
        <x:v>선택 안함</x:v>
      </x:c>
      <x:c r="G48" s="11" t="str">
        <x:v>특약 없음</x:v>
      </x:c>
      <x:c r="H48" s="11" t="str">
        <x:v>합계</x:v>
      </x:c>
    </x:row>
    <x:row r="49" ht="25" customHeight="1">
      <x:c r="A49" s="12" t="str">
        <x:v>0명</x:v>
      </x:c>
      <x:c r="B49" s="19" t="n">
        <x:f>COUNTIFS('고객데이터'!$I$5:$I$1004,$A49,'고객데이터'!$O$5:$O$1004,B$48)</x:f>
        <x:v>17</x:v>
      </x:c>
      <x:c r="C49" s="19" t="n">
        <x:f>COUNTIFS('고객데이터'!$I$5:$I$1004,$A49,'고객데이터'!$O$5:$O$1004,C$48)</x:f>
        <x:v>68</x:v>
      </x:c>
      <x:c r="D49" s="19" t="n">
        <x:f>COUNTIFS('고객데이터'!$I$5:$I$1004,$A49,'고객데이터'!$O$5:$O$1004,D$48)</x:f>
        <x:v>91</x:v>
      </x:c>
      <x:c r="E49" s="19" t="n">
        <x:f>COUNTIFS('고객데이터'!$I$5:$I$1004,$A49,'고객데이터'!$O$5:$O$1004,E$48)</x:f>
        <x:v>80</x:v>
      </x:c>
      <x:c r="F49" s="19" t="n">
        <x:f>COUNTIFS('고객데이터'!$I$5:$I$1004,$A49,'고객데이터'!$O$5:$O$1004,F$48)</x:f>
        <x:v>68</x:v>
      </x:c>
      <x:c r="G49" s="19" t="n">
        <x:f>COUNTIFS('고객데이터'!$I$5:$I$1004,$A49,'고객데이터'!$O$5:$O$1004,G$48)</x:f>
        <x:v>163</x:v>
      </x:c>
      <x:c r="H49" s="19" t="n">
        <x:f>SUM(B49:G49)</x:f>
        <x:v>487</x:v>
      </x:c>
    </x:row>
    <x:row r="50" ht="25" customHeight="1">
      <x:c r="A50" s="2" t="str">
        <x:v>1명</x:v>
      </x:c>
      <x:c r="B50" s="7" t="n">
        <x:f>COUNTIFS('고객데이터'!$I$5:$I$1004,$A50,'고객데이터'!$O$5:$O$1004,B$48)</x:f>
        <x:v>74</x:v>
      </x:c>
      <x:c r="C50" s="7" t="n">
        <x:f>COUNTIFS('고객데이터'!$I$5:$I$1004,$A50,'고객데이터'!$O$5:$O$1004,C$48)</x:f>
        <x:v>21</x:v>
      </x:c>
      <x:c r="D50" s="7" t="n">
        <x:f>COUNTIFS('고객데이터'!$I$5:$I$1004,$A50,'고객데이터'!$O$5:$O$1004,D$48)</x:f>
        <x:v>76</x:v>
      </x:c>
      <x:c r="E50" s="7" t="n">
        <x:f>COUNTIFS('고객데이터'!$I$5:$I$1004,$A50,'고객데이터'!$O$5:$O$1004,E$48)</x:f>
        <x:v>62</x:v>
      </x:c>
      <x:c r="F50" s="7" t="n">
        <x:f>COUNTIFS('고객데이터'!$I$5:$I$1004,$A50,'고객데이터'!$O$5:$O$1004,F$48)</x:f>
        <x:v>41</x:v>
      </x:c>
      <x:c r="G50" s="7" t="n">
        <x:f>COUNTIFS('고객데이터'!$I$5:$I$1004,$A50,'고객데이터'!$O$5:$O$1004,G$48)</x:f>
        <x:v>21</x:v>
      </x:c>
      <x:c r="H50" s="7" t="n">
        <x:f>SUM(B50:G50)</x:f>
        <x:v>295</x:v>
      </x:c>
    </x:row>
    <x:row r="51" ht="25" customHeight="1">
      <x:c r="A51" s="12" t="str">
        <x:v>2명</x:v>
      </x:c>
      <x:c r="B51" s="19" t="n">
        <x:f>COUNTIFS('고객데이터'!$I$5:$I$1004,$A51,'고객데이터'!$O$5:$O$1004,B$48)</x:f>
        <x:v>52</x:v>
      </x:c>
      <x:c r="C51" s="19" t="n">
        <x:f>COUNTIFS('고객데이터'!$I$5:$I$1004,$A51,'고객데이터'!$O$5:$O$1004,C$48)</x:f>
        <x:v>15</x:v>
      </x:c>
      <x:c r="D51" s="19" t="n">
        <x:f>COUNTIFS('고객데이터'!$I$5:$I$1004,$A51,'고객데이터'!$O$5:$O$1004,D$48)</x:f>
        <x:v>45</x:v>
      </x:c>
      <x:c r="E51" s="19" t="n">
        <x:f>COUNTIFS('고객데이터'!$I$5:$I$1004,$A51,'고객데이터'!$O$5:$O$1004,E$48)</x:f>
        <x:v>40</x:v>
      </x:c>
      <x:c r="F51" s="19" t="n">
        <x:f>COUNTIFS('고객데이터'!$I$5:$I$1004,$A51,'고객데이터'!$O$5:$O$1004,F$48)</x:f>
        <x:v>33</x:v>
      </x:c>
      <x:c r="G51" s="19" t="n">
        <x:f>COUNTIFS('고객데이터'!$I$5:$I$1004,$A51,'고객데이터'!$O$5:$O$1004,G$48)</x:f>
        <x:v>22</x:v>
      </x:c>
      <x:c r="H51" s="19" t="n">
        <x:f>SUM(B51:G51)</x:f>
        <x:v>207</x:v>
      </x:c>
    </x:row>
    <x:row r="52" ht="25" customHeight="1">
      <x:c r="A52" s="2" t="str">
        <x:v>3명 이상</x:v>
      </x:c>
      <x:c r="B52" s="7" t="n">
        <x:f>COUNTIFS('고객데이터'!$I$5:$I$1004,$A52,'고객데이터'!$O$5:$O$1004,B$48)</x:f>
        <x:v>6</x:v>
      </x:c>
      <x:c r="C52" s="7" t="n">
        <x:f>COUNTIFS('고객데이터'!$I$5:$I$1004,$A52,'고객데이터'!$O$5:$O$1004,C$48)</x:f>
        <x:v>2</x:v>
      </x:c>
      <x:c r="D52" s="7" t="n">
        <x:f>COUNTIFS('고객데이터'!$I$5:$I$1004,$A52,'고객데이터'!$O$5:$O$1004,D$48)</x:f>
        <x:v>0</x:v>
      </x:c>
      <x:c r="E52" s="7" t="n">
        <x:f>COUNTIFS('고객데이터'!$I$5:$I$1004,$A52,'고객데이터'!$O$5:$O$1004,E$48)</x:f>
        <x:v>1</x:v>
      </x:c>
      <x:c r="F52" s="7" t="n">
        <x:f>COUNTIFS('고객데이터'!$I$5:$I$1004,$A52,'고객데이터'!$O$5:$O$1004,F$48)</x:f>
        <x:v>1</x:v>
      </x:c>
      <x:c r="G52" s="7" t="n">
        <x:f>COUNTIFS('고객데이터'!$I$5:$I$1004,$A52,'고객데이터'!$O$5:$O$1004,G$48)</x:f>
        <x:v>1</x:v>
      </x:c>
      <x:c r="H52" s="7" t="n">
        <x:f>SUM(B52:G52)</x:f>
        <x:v>11</x:v>
      </x:c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13" t="str">
        <x:v>자녀구간별 구성비 (행 기준)</x:v>
      </x:c>
      <x:c r="B54" s="2"/>
      <x:c r="C54" s="2"/>
      <x:c r="D54" s="2"/>
      <x:c r="E54" s="2"/>
      <x:c r="F54" s="2"/>
      <x:c r="G54" s="2"/>
      <x:c r="H54" s="2"/>
    </x:row>
    <x:row r="55" ht="36" customHeight="1">
      <x:c r="A55" s="11" t="str">
        <x:v>자녀구간</x:v>
      </x:c>
      <x:c r="B55" s="11" t="str">
        <x:v>가족 수입 보장 특약</x:v>
      </x:c>
      <x:c r="C55" s="11" t="str">
        <x:v>수술비 보장 특약</x:v>
      </x:c>
      <x:c r="D55" s="11" t="str">
        <x:v>중증질환 산정특례 보장 특약</x:v>
      </x:c>
      <x:c r="E55" s="11" t="str">
        <x:v>표적항암약물허가치료 특약</x:v>
      </x:c>
      <x:c r="F55" s="11" t="str">
        <x:v>선택 안함</x:v>
      </x:c>
      <x:c r="G55" s="11" t="str">
        <x:v>특약 없음</x:v>
      </x:c>
      <x:c r="H55" s="11" t="str">
        <x:v>합계</x:v>
      </x:c>
    </x:row>
    <x:row r="56" ht="25" customHeight="1">
      <x:c r="A56" s="12" t="str">
        <x:v>0명</x:v>
      </x:c>
      <x:c r="B56" s="15" t="n">
        <x:f>IF($H49=0,"n.a.",B49/$H49)</x:f>
        <x:v>0.03490759753593429</x:v>
      </x:c>
      <x:c r="C56" s="15" t="n">
        <x:f>IF($H49=0,"n.a.",C49/$H49)</x:f>
        <x:v>0.13963039014373715</x:v>
      </x:c>
      <x:c r="D56" s="15" t="n">
        <x:f>IF($H49=0,"n.a.",D49/$H49)</x:f>
        <x:v>0.1868583162217659</x:v>
      </x:c>
      <x:c r="E56" s="15" t="n">
        <x:f>IF($H49=0,"n.a.",E49/$H49)</x:f>
        <x:v>0.16427104722792607</x:v>
      </x:c>
      <x:c r="F56" s="15" t="n">
        <x:f>IF($H49=0,"n.a.",F49/$H49)</x:f>
        <x:v>0.13963039014373715</x:v>
      </x:c>
      <x:c r="G56" s="15" t="n">
        <x:f>IF($H49=0,"n.a.",G49/$H49)</x:f>
        <x:v>0.3347022587268994</x:v>
      </x:c>
      <x:c r="H56" s="15" t="n">
        <x:f>SUM(B56:G56)</x:f>
        <x:v>1</x:v>
      </x:c>
    </x:row>
    <x:row r="57" ht="25" customHeight="1">
      <x:c r="A57" s="2" t="str">
        <x:v>1명</x:v>
      </x:c>
      <x:c r="B57" s="16" t="n">
        <x:f>IF($H50=0,"n.a.",B50/$H50)</x:f>
        <x:v>0.25084745762711863</x:v>
      </x:c>
      <x:c r="C57" s="16" t="n">
        <x:f>IF($H50=0,"n.a.",C50/$H50)</x:f>
        <x:v>0.0711864406779661</x:v>
      </x:c>
      <x:c r="D57" s="16" t="n">
        <x:f>IF($H50=0,"n.a.",D50/$H50)</x:f>
        <x:v>0.2576271186440678</x:v>
      </x:c>
      <x:c r="E57" s="16" t="n">
        <x:f>IF($H50=0,"n.a.",E50/$H50)</x:f>
        <x:v>0.21016949152542372</x:v>
      </x:c>
      <x:c r="F57" s="16" t="n">
        <x:f>IF($H50=0,"n.a.",F50/$H50)</x:f>
        <x:v>0.13898305084745763</x:v>
      </x:c>
      <x:c r="G57" s="16" t="n">
        <x:f>IF($H50=0,"n.a.",G50/$H50)</x:f>
        <x:v>0.0711864406779661</x:v>
      </x:c>
      <x:c r="H57" s="16" t="n">
        <x:f>SUM(B57:G57)</x:f>
        <x:v>1</x:v>
      </x:c>
    </x:row>
    <x:row r="58" ht="25" customHeight="1">
      <x:c r="A58" s="12" t="str">
        <x:v>2명</x:v>
      </x:c>
      <x:c r="B58" s="15" t="n">
        <x:f>IF($H51=0,"n.a.",B51/$H51)</x:f>
        <x:v>0.25120772946859904</x:v>
      </x:c>
      <x:c r="C58" s="15" t="n">
        <x:f>IF($H51=0,"n.a.",C51/$H51)</x:f>
        <x:v>0.07246376811594203</x:v>
      </x:c>
      <x:c r="D58" s="15" t="n">
        <x:f>IF($H51=0,"n.a.",D51/$H51)</x:f>
        <x:v>0.21739130434782608</x:v>
      </x:c>
      <x:c r="E58" s="15" t="n">
        <x:f>IF($H51=0,"n.a.",E51/$H51)</x:f>
        <x:v>0.1932367149758454</x:v>
      </x:c>
      <x:c r="F58" s="15" t="n">
        <x:f>IF($H51=0,"n.a.",F51/$H51)</x:f>
        <x:v>0.15942028985507245</x:v>
      </x:c>
      <x:c r="G58" s="15" t="n">
        <x:f>IF($H51=0,"n.a.",G51/$H51)</x:f>
        <x:v>0.10628019323671498</x:v>
      </x:c>
      <x:c r="H58" s="15" t="n">
        <x:f>SUM(B58:G58)</x:f>
        <x:v>1</x:v>
      </x:c>
    </x:row>
    <x:row r="59" ht="25" customHeight="1">
      <x:c r="A59" s="2" t="str">
        <x:v>3명 이상</x:v>
      </x:c>
      <x:c r="B59" s="16" t="n">
        <x:f>IF($H52=0,"n.a.",B52/$H52)</x:f>
        <x:v>0.5454545454545454</x:v>
      </x:c>
      <x:c r="C59" s="16" t="n">
        <x:f>IF($H52=0,"n.a.",C52/$H52)</x:f>
        <x:v>0.18181818181818182</x:v>
      </x:c>
      <x:c r="D59" s="16" t="n">
        <x:f>IF($H52=0,"n.a.",D52/$H52)</x:f>
        <x:v>0</x:v>
      </x:c>
      <x:c r="E59" s="16" t="n">
        <x:f>IF($H52=0,"n.a.",E52/$H52)</x:f>
        <x:v>0.09090909090909091</x:v>
      </x:c>
      <x:c r="F59" s="16" t="n">
        <x:f>IF($H52=0,"n.a.",F52/$H52)</x:f>
        <x:v>0.09090909090909091</x:v>
      </x:c>
      <x:c r="G59" s="16" t="n">
        <x:f>IF($H52=0,"n.a.",G52/$H52)</x:f>
        <x:v>0.09090909090909091</x:v>
      </x:c>
      <x:c r="H59" s="16" t="n">
        <x:f>SUM(B59:G59)</x:f>
        <x:v>1</x:v>
      </x:c>
    </x:row>
    <x:row r="60" ht="24" customHeight="1">
      <x:c r="A60" s="2"/>
      <x:c r="B60" s="2"/>
      <x:c r="C60" s="2"/>
      <x:c r="D60" s="2"/>
      <x:c r="E60" s="2"/>
      <x:c r="F60" s="2"/>
      <x:c r="G60" s="2"/>
      <x:c r="H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</x:row>
  </x:sheetData>
  <x:conditionalFormatting sqref="B15:G19">
    <x:cfRule type="colorScale" priority="1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conditionalFormatting sqref="B30:G31">
    <x:cfRule type="colorScale" priority="2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conditionalFormatting sqref="B42:G43">
    <x:cfRule type="colorScale" priority="3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conditionalFormatting sqref="B56:G59">
    <x:cfRule type="colorScale" priority="4">
      <x:colorScale>
        <x:cfvo type="min"/>
        <x:cfvo type="percentile" val="50"/>
        <x:cfvo type="max"/>
        <x:color rgb="FFFFFFFF"/>
        <x:color rgb="FFDCEAF5"/>
        <x:color rgb="FF8CB5D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9" hidden="0" customWidth="1"/>
    <x:col min="3" max="3" width="11" hidden="0" customWidth="1"/>
    <x:col min="4" max="4" width="10" hidden="0" customWidth="1"/>
    <x:col min="5" max="5" width="17" hidden="0" customWidth="1"/>
    <x:col min="6" max="6" width="16" hidden="0" customWidth="1"/>
    <x:col min="7" max="7" width="13" hidden="0" customWidth="1"/>
    <x:col min="8" max="8" width="1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8" hidden="0" customWidth="1"/>
    <x:col min="14" max="14" width="18" hidden="0" customWidth="1"/>
    <x:col min="15" max="15" width="38" hidden="0" customWidth="1"/>
    <x:col min="16" max="16" width="16" hidden="0" customWidth="1"/>
    <x:col min="17" max="17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2" customHeight="1">
      <x:c r="A2" s="4" t="str">
        <x:v>고객 분류 데이터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4" customHeight="1">
      <x:c r="A3" s="2" t="str">
        <x:v>출처: customer_data.csv 1,000행. 분석ID는 원본 행 순서로 부여. 기본 정렬은 연령대·나이·분석ID 순.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30" customHeight="1">
      <x:c r="A4" s="6" t="str">
        <x:v>분석ID</x:v>
      </x:c>
      <x:c r="B4" s="6" t="str">
        <x:v>나이</x:v>
      </x:c>
      <x:c r="C4" s="6" t="str">
        <x:v>연령대</x:v>
      </x:c>
      <x:c r="D4" s="6" t="str">
        <x:v>성별</x:v>
      </x:c>
      <x:c r="E4" s="6" t="str">
        <x:v>연소득_만원</x:v>
      </x:c>
      <x:c r="F4" s="6" t="str">
        <x:v>직업위험등급</x:v>
      </x:c>
      <x:c r="G4" s="6" t="str">
        <x:v>결혼여부</x:v>
      </x:c>
      <x:c r="H4" s="6" t="str">
        <x:v>자녀수</x:v>
      </x:c>
      <x:c r="I4" s="6" t="str">
        <x:v>자녀구간</x:v>
      </x:c>
      <x:c r="J4" s="6" t="str">
        <x:v>흡연여부</x:v>
      </x:c>
      <x:c r="K4" s="6" t="str">
        <x:v>만성질환</x:v>
      </x:c>
      <x:c r="L4" s="6" t="str">
        <x:v>가족력</x:v>
      </x:c>
      <x:c r="M4" s="6" t="str">
        <x:v>가입상품</x:v>
      </x:c>
      <x:c r="N4" s="6" t="str">
        <x:v>상품분류</x:v>
      </x:c>
      <x:c r="O4" s="6" t="str">
        <x:v>가입특약</x:v>
      </x:c>
      <x:c r="P4" s="6" t="str">
        <x:v>특약상태</x:v>
      </x:c>
      <x:c r="Q4" s="6" t="str">
        <x:v>특약가입여부</x:v>
      </x:c>
    </x:row>
    <x:row r="5" ht="23" customHeight="1">
      <x:c r="A5" s="2" t="str">
        <x:v>C0090</x:v>
      </x:c>
      <x:c r="B5" s="7" t="n">
        <x:v>20</x:v>
      </x:c>
      <x:c r="C5" s="2" t="str">
        <x:f>INT(B5/10)*10&amp;"대"</x:f>
        <x:v>20대</x:v>
      </x:c>
      <x:c r="D5" s="2" t="str">
        <x:v>여성</x:v>
      </x:c>
      <x:c r="E5" s="7" t="n">
        <x:v>4000</x:v>
      </x:c>
      <x:c r="F5" s="7" t="n">
        <x:v>2</x:v>
      </x:c>
      <x:c r="G5" s="2" t="str">
        <x:v>미혼</x:v>
      </x:c>
      <x:c r="H5" s="7" t="n">
        <x:v>0</x:v>
      </x:c>
      <x:c r="I5" s="2" t="str">
        <x:f>IF(H5&lt;3,H5&amp;"명","3명 이상")</x:f>
        <x:v>0명</x:v>
      </x:c>
      <x:c r="J5" s="2" t="str">
        <x:v>비흡연</x:v>
      </x:c>
      <x:c r="K5" s="2" t="str">
        <x:v>없음</x:v>
      </x:c>
      <x:c r="L5" s="2" t="str">
        <x:v>암</x:v>
      </x:c>
      <x:c r="M5" s="2" t="str">
        <x:v>수호천사 행복 연금보험</x:v>
      </x:c>
      <x:c r="N5" s="2" t="str">
        <x:f>VLOOKUP(M5,'분류기준'!$A$5:$B$8,2,FALSE)</x:f>
        <x:v>연금보험</x:v>
      </x:c>
      <x:c r="O5" s="2" t="str">
        <x:v>특약 없음</x:v>
      </x:c>
      <x:c r="P5" s="2" t="str">
        <x:f>IF(O5="선택 안함","선택 안함",IF(O5="특약 없음","특약 없음","가입"))</x:f>
        <x:v>특약 없음</x:v>
      </x:c>
      <x:c r="Q5" s="2" t="str">
        <x:f>IF(P5="가입","가입","미가입")</x:f>
        <x:v>미가입</x:v>
      </x:c>
    </x:row>
    <x:row r="6" ht="23" customHeight="1">
      <x:c r="A6" s="2" t="str">
        <x:v>C0095</x:v>
      </x:c>
      <x:c r="B6" s="7" t="n">
        <x:v>20</x:v>
      </x:c>
      <x:c r="C6" s="2" t="str">
        <x:f>INT(B6/10)*10&amp;"대"</x:f>
        <x:v>20대</x:v>
      </x:c>
      <x:c r="D6" s="2" t="str">
        <x:v>남성</x:v>
      </x:c>
      <x:c r="E6" s="7" t="n">
        <x:v>4000</x:v>
      </x:c>
      <x:c r="F6" s="7" t="n">
        <x:v>2</x:v>
      </x:c>
      <x:c r="G6" s="2" t="str">
        <x:v>미혼</x:v>
      </x:c>
      <x:c r="H6" s="7" t="n">
        <x:v>0</x:v>
      </x:c>
      <x:c r="I6" s="2" t="str">
        <x:f>IF(H6&lt;3,H6&amp;"명","3명 이상")</x:f>
        <x:v>0명</x:v>
      </x:c>
      <x:c r="J6" s="2" t="str">
        <x:v>흡연</x:v>
      </x:c>
      <x:c r="K6" s="2" t="str">
        <x:v>없음</x:v>
      </x:c>
      <x:c r="L6" s="2" t="str">
        <x:v>암</x:v>
      </x:c>
      <x:c r="M6" s="2" t="str">
        <x:v>수호천사 암/건강보험</x:v>
      </x:c>
      <x:c r="N6" s="2" t="str">
        <x:f>VLOOKUP(M6,'분류기준'!$A$5:$B$8,2,FALSE)</x:f>
        <x:v>암/건강보험</x:v>
      </x:c>
      <x:c r="O6" s="2" t="str">
        <x:v>수술비 보장 특약</x:v>
      </x:c>
      <x:c r="P6" s="2" t="str">
        <x:f>IF(O6="선택 안함","선택 안함",IF(O6="특약 없음","특약 없음","가입"))</x:f>
        <x:v>가입</x:v>
      </x:c>
      <x:c r="Q6" s="2" t="str">
        <x:f>IF(P6="가입","가입","미가입")</x:f>
        <x:v>가입</x:v>
      </x:c>
    </x:row>
    <x:row r="7" ht="23" customHeight="1">
      <x:c r="A7" s="2" t="str">
        <x:v>C0125</x:v>
      </x:c>
      <x:c r="B7" s="7" t="n">
        <x:v>20</x:v>
      </x:c>
      <x:c r="C7" s="2" t="str">
        <x:f>INT(B7/10)*10&amp;"대"</x:f>
        <x:v>20대</x:v>
      </x:c>
      <x:c r="D7" s="2" t="str">
        <x:v>남성</x:v>
      </x:c>
      <x:c r="E7" s="7" t="n">
        <x:v>5000</x:v>
      </x:c>
      <x:c r="F7" s="7" t="n">
        <x:v>1</x:v>
      </x:c>
      <x:c r="G7" s="2" t="str">
        <x:v>미혼</x:v>
      </x:c>
      <x:c r="H7" s="7" t="n">
        <x:v>0</x:v>
      </x:c>
      <x:c r="I7" s="2" t="str">
        <x:f>IF(H7&lt;3,H7&amp;"명","3명 이상")</x:f>
        <x:v>0명</x:v>
      </x:c>
      <x:c r="J7" s="2" t="str">
        <x:v>비흡연</x:v>
      </x:c>
      <x:c r="K7" s="2" t="str">
        <x:v>없음</x:v>
      </x:c>
      <x:c r="L7" s="2" t="str">
        <x:v>없음</x:v>
      </x:c>
      <x:c r="M7" s="2" t="str">
        <x:v>수호천사 행복 연금보험</x:v>
      </x:c>
      <x:c r="N7" s="2" t="str">
        <x:f>VLOOKUP(M7,'분류기준'!$A$5:$B$8,2,FALSE)</x:f>
        <x:v>연금보험</x:v>
      </x:c>
      <x:c r="O7" s="2" t="str">
        <x:v>특약 없음</x:v>
      </x:c>
      <x:c r="P7" s="2" t="str">
        <x:f>IF(O7="선택 안함","선택 안함",IF(O7="특약 없음","특약 없음","가입"))</x:f>
        <x:v>특약 없음</x:v>
      </x:c>
      <x:c r="Q7" s="2" t="str">
        <x:f>IF(P7="가입","가입","미가입")</x:f>
        <x:v>미가입</x:v>
      </x:c>
    </x:row>
    <x:row r="8" ht="23" customHeight="1">
      <x:c r="A8" s="2" t="str">
        <x:v>C0130</x:v>
      </x:c>
      <x:c r="B8" s="7" t="n">
        <x:v>20</x:v>
      </x:c>
      <x:c r="C8" s="2" t="str">
        <x:f>INT(B8/10)*10&amp;"대"</x:f>
        <x:v>20대</x:v>
      </x:c>
      <x:c r="D8" s="2" t="str">
        <x:v>여성</x:v>
      </x:c>
      <x:c r="E8" s="7" t="n">
        <x:v>7500</x:v>
      </x:c>
      <x:c r="F8" s="7" t="n">
        <x:v>2</x:v>
      </x:c>
      <x:c r="G8" s="2" t="str">
        <x:v>미혼</x:v>
      </x:c>
      <x:c r="H8" s="7" t="n">
        <x:v>0</x:v>
      </x:c>
      <x:c r="I8" s="2" t="str">
        <x:f>IF(H8&lt;3,H8&amp;"명","3명 이상")</x:f>
        <x:v>0명</x:v>
      </x:c>
      <x:c r="J8" s="2" t="str">
        <x:v>비흡연</x:v>
      </x:c>
      <x:c r="K8" s="2" t="str">
        <x:v>없음</x:v>
      </x:c>
      <x:c r="L8" s="2" t="str">
        <x:v>암</x:v>
      </x:c>
      <x:c r="M8" s="2" t="str">
        <x:v>수호천사 행복 연금보험</x:v>
      </x:c>
      <x:c r="N8" s="2" t="str">
        <x:f>VLOOKUP(M8,'분류기준'!$A$5:$B$8,2,FALSE)</x:f>
        <x:v>연금보험</x:v>
      </x:c>
      <x:c r="O8" s="2" t="str">
        <x:v>특약 없음</x:v>
      </x:c>
      <x:c r="P8" s="2" t="str">
        <x:f>IF(O8="선택 안함","선택 안함",IF(O8="특약 없음","특약 없음","가입"))</x:f>
        <x:v>특약 없음</x:v>
      </x:c>
      <x:c r="Q8" s="2" t="str">
        <x:f>IF(P8="가입","가입","미가입")</x:f>
        <x:v>미가입</x:v>
      </x:c>
    </x:row>
    <x:row r="9" ht="23" customHeight="1">
      <x:c r="A9" s="2" t="str">
        <x:v>C0175</x:v>
      </x:c>
      <x:c r="B9" s="7" t="n">
        <x:v>20</x:v>
      </x:c>
      <x:c r="C9" s="2" t="str">
        <x:f>INT(B9/10)*10&amp;"대"</x:f>
        <x:v>20대</x:v>
      </x:c>
      <x:c r="D9" s="2" t="str">
        <x:v>남성</x:v>
      </x:c>
      <x:c r="E9" s="7" t="n">
        <x:v>6000</x:v>
      </x:c>
      <x:c r="F9" s="7" t="n">
        <x:v>1</x:v>
      </x:c>
      <x:c r="G9" s="2" t="str">
        <x:v>미혼</x:v>
      </x:c>
      <x:c r="H9" s="7" t="n">
        <x:v>0</x:v>
      </x:c>
      <x:c r="I9" s="2" t="str">
        <x:f>IF(H9&lt;3,H9&amp;"명","3명 이상")</x:f>
        <x:v>0명</x:v>
      </x:c>
      <x:c r="J9" s="2" t="str">
        <x:v>비흡연</x:v>
      </x:c>
      <x:c r="K9" s="2" t="str">
        <x:v>없음</x:v>
      </x:c>
      <x:c r="L9" s="2" t="str">
        <x:v>없음</x:v>
      </x:c>
      <x:c r="M9" s="2" t="str">
        <x:v>수호천사 우리가족 종신보험</x:v>
      </x:c>
      <x:c r="N9" s="2" t="str">
        <x:f>VLOOKUP(M9,'분류기준'!$A$5:$B$8,2,FALSE)</x:f>
        <x:v>종신보험</x:v>
      </x:c>
      <x:c r="O9" s="2" t="str">
        <x:v>선택 안함</x:v>
      </x:c>
      <x:c r="P9" s="2" t="str">
        <x:f>IF(O9="선택 안함","선택 안함",IF(O9="특약 없음","특약 없음","가입"))</x:f>
        <x:v>선택 안함</x:v>
      </x:c>
      <x:c r="Q9" s="2" t="str">
        <x:f>IF(P9="가입","가입","미가입")</x:f>
        <x:v>미가입</x:v>
      </x:c>
    </x:row>
    <x:row r="10" ht="23" customHeight="1">
      <x:c r="A10" s="2" t="str">
        <x:v>C0208</x:v>
      </x:c>
      <x:c r="B10" s="7" t="n">
        <x:v>20</x:v>
      </x:c>
      <x:c r="C10" s="2" t="str">
        <x:f>INT(B10/10)*10&amp;"대"</x:f>
        <x:v>20대</x:v>
      </x:c>
      <x:c r="D10" s="2" t="str">
        <x:v>여성</x:v>
      </x:c>
      <x:c r="E10" s="7" t="n">
        <x:v>4000</x:v>
      </x:c>
      <x:c r="F10" s="7" t="n">
        <x:v>1</x:v>
      </x:c>
      <x:c r="G10" s="2" t="str">
        <x:v>미혼</x:v>
      </x:c>
      <x:c r="H10" s="7" t="n">
        <x:v>0</x:v>
      </x:c>
      <x:c r="I10" s="2" t="str">
        <x:f>IF(H10&lt;3,H10&amp;"명","3명 이상")</x:f>
        <x:v>0명</x:v>
      </x:c>
      <x:c r="J10" s="2" t="str">
        <x:v>흡연</x:v>
      </x:c>
      <x:c r="K10" s="2" t="str">
        <x:v>당뇨</x:v>
      </x:c>
      <x:c r="L10" s="2" t="str">
        <x:v>없음</x:v>
      </x:c>
      <x:c r="M10" s="2" t="str">
        <x:v>수호천사 간편심사(유병자)보험</x:v>
      </x:c>
      <x:c r="N10" s="2" t="str">
        <x:f>VLOOKUP(M10,'분류기준'!$A$5:$B$8,2,FALSE)</x:f>
        <x:v>간편심사보험</x:v>
      </x:c>
      <x:c r="O10" s="2" t="str">
        <x:v>중증질환 산정특례 보장 특약</x:v>
      </x:c>
      <x:c r="P10" s="2" t="str">
        <x:f>IF(O10="선택 안함","선택 안함",IF(O10="특약 없음","특약 없음","가입"))</x:f>
        <x:v>가입</x:v>
      </x:c>
      <x:c r="Q10" s="2" t="str">
        <x:f>IF(P10="가입","가입","미가입")</x:f>
        <x:v>가입</x:v>
      </x:c>
    </x:row>
    <x:row r="11" ht="23" customHeight="1">
      <x:c r="A11" s="2" t="str">
        <x:v>C0248</x:v>
      </x:c>
      <x:c r="B11" s="7" t="n">
        <x:v>20</x:v>
      </x:c>
      <x:c r="C11" s="2" t="str">
        <x:f>INT(B11/10)*10&amp;"대"</x:f>
        <x:v>20대</x:v>
      </x:c>
      <x:c r="D11" s="2" t="str">
        <x:v>여성</x:v>
      </x:c>
      <x:c r="E11" s="7" t="n">
        <x:v>5000</x:v>
      </x:c>
      <x:c r="F11" s="7" t="n">
        <x:v>1</x:v>
      </x:c>
      <x:c r="G11" s="2" t="str">
        <x:v>미혼</x:v>
      </x:c>
      <x:c r="H11" s="7" t="n">
        <x:v>0</x:v>
      </x:c>
      <x:c r="I11" s="2" t="str">
        <x:f>IF(H11&lt;3,H11&amp;"명","3명 이상")</x:f>
        <x:v>0명</x:v>
      </x:c>
      <x:c r="J11" s="2" t="str">
        <x:v>비흡연</x:v>
      </x:c>
      <x:c r="K11" s="2" t="str">
        <x:v>없음</x:v>
      </x:c>
      <x:c r="L11" s="2" t="str">
        <x:v>심혈관</x:v>
      </x:c>
      <x:c r="M11" s="2" t="str">
        <x:v>수호천사 행복 연금보험</x:v>
      </x:c>
      <x:c r="N11" s="2" t="str">
        <x:f>VLOOKUP(M11,'분류기준'!$A$5:$B$8,2,FALSE)</x:f>
        <x:v>연금보험</x:v>
      </x:c>
      <x:c r="O11" s="2" t="str">
        <x:v>특약 없음</x:v>
      </x:c>
      <x:c r="P11" s="2" t="str">
        <x:f>IF(O11="선택 안함","선택 안함",IF(O11="특약 없음","특약 없음","가입"))</x:f>
        <x:v>특약 없음</x:v>
      </x:c>
      <x:c r="Q11" s="2" t="str">
        <x:f>IF(P11="가입","가입","미가입")</x:f>
        <x:v>미가입</x:v>
      </x:c>
    </x:row>
    <x:row r="12" ht="23" customHeight="1">
      <x:c r="A12" s="2" t="str">
        <x:v>C0261</x:v>
      </x:c>
      <x:c r="B12" s="7" t="n">
        <x:v>20</x:v>
      </x:c>
      <x:c r="C12" s="2" t="str">
        <x:f>INT(B12/10)*10&amp;"대"</x:f>
        <x:v>20대</x:v>
      </x:c>
      <x:c r="D12" s="2" t="str">
        <x:v>남성</x:v>
      </x:c>
      <x:c r="E12" s="7" t="n">
        <x:v>6000</x:v>
      </x:c>
      <x:c r="F12" s="7" t="n">
        <x:v>2</x:v>
      </x:c>
      <x:c r="G12" s="2" t="str">
        <x:v>기혼</x:v>
      </x:c>
      <x:c r="H12" s="7" t="n">
        <x:v>0</x:v>
      </x:c>
      <x:c r="I12" s="2" t="str">
        <x:f>IF(H12&lt;3,H12&amp;"명","3명 이상")</x:f>
        <x:v>0명</x:v>
      </x:c>
      <x:c r="J12" s="2" t="str">
        <x:v>비흡연</x:v>
      </x:c>
      <x:c r="K12" s="2" t="str">
        <x:v>없음</x:v>
      </x:c>
      <x:c r="L12" s="2" t="str">
        <x:v>암</x:v>
      </x:c>
      <x:c r="M12" s="2" t="str">
        <x:v>수호천사 암/건강보험</x:v>
      </x:c>
      <x:c r="N12" s="2" t="str">
        <x:f>VLOOKUP(M12,'분류기준'!$A$5:$B$8,2,FALSE)</x:f>
        <x:v>암/건강보험</x:v>
      </x:c>
      <x:c r="O12" s="2" t="str">
        <x:v>수술비 보장 특약</x:v>
      </x:c>
      <x:c r="P12" s="2" t="str">
        <x:f>IF(O12="선택 안함","선택 안함",IF(O12="특약 없음","특약 없음","가입"))</x:f>
        <x:v>가입</x:v>
      </x:c>
      <x:c r="Q12" s="2" t="str">
        <x:f>IF(P12="가입","가입","미가입")</x:f>
        <x:v>가입</x:v>
      </x:c>
    </x:row>
    <x:row r="13" ht="23" customHeight="1">
      <x:c r="A13" s="2" t="str">
        <x:v>C0381</x:v>
      </x:c>
      <x:c r="B13" s="7" t="n">
        <x:v>20</x:v>
      </x:c>
      <x:c r="C13" s="2" t="str">
        <x:f>INT(B13/10)*10&amp;"대"</x:f>
        <x:v>20대</x:v>
      </x:c>
      <x:c r="D13" s="2" t="str">
        <x:v>여성</x:v>
      </x:c>
      <x:c r="E13" s="7" t="n">
        <x:v>5000</x:v>
      </x:c>
      <x:c r="F13" s="7" t="n">
        <x:v>2</x:v>
      </x:c>
      <x:c r="G13" s="2" t="str">
        <x:v>미혼</x:v>
      </x:c>
      <x:c r="H13" s="7" t="n">
        <x:v>0</x:v>
      </x:c>
      <x:c r="I13" s="2" t="str">
        <x:f>IF(H13&lt;3,H13&amp;"명","3명 이상")</x:f>
        <x:v>0명</x:v>
      </x:c>
      <x:c r="J13" s="2" t="str">
        <x:v>비흡연</x:v>
      </x:c>
      <x:c r="K13" s="2" t="str">
        <x:v>없음</x:v>
      </x:c>
      <x:c r="L13" s="2" t="str">
        <x:v>없음</x:v>
      </x:c>
      <x:c r="M13" s="2" t="str">
        <x:v>수호천사 간편심사(유병자)보험</x:v>
      </x:c>
      <x:c r="N13" s="2" t="str">
        <x:f>VLOOKUP(M13,'분류기준'!$A$5:$B$8,2,FALSE)</x:f>
        <x:v>간편심사보험</x:v>
      </x:c>
      <x:c r="O13" s="2" t="str">
        <x:v>중증질환 산정특례 보장 특약</x:v>
      </x:c>
      <x:c r="P13" s="2" t="str">
        <x:f>IF(O13="선택 안함","선택 안함",IF(O13="특약 없음","특약 없음","가입"))</x:f>
        <x:v>가입</x:v>
      </x:c>
      <x:c r="Q13" s="2" t="str">
        <x:f>IF(P13="가입","가입","미가입")</x:f>
        <x:v>가입</x:v>
      </x:c>
    </x:row>
    <x:row r="14" ht="23" customHeight="1">
      <x:c r="A14" s="2" t="str">
        <x:v>C0430</x:v>
      </x:c>
      <x:c r="B14" s="7" t="n">
        <x:v>20</x:v>
      </x:c>
      <x:c r="C14" s="2" t="str">
        <x:f>INT(B14/10)*10&amp;"대"</x:f>
        <x:v>20대</x:v>
      </x:c>
      <x:c r="D14" s="2" t="str">
        <x:v>여성</x:v>
      </x:c>
      <x:c r="E14" s="7" t="n">
        <x:v>3000</x:v>
      </x:c>
      <x:c r="F14" s="7" t="n">
        <x:v>2</x:v>
      </x:c>
      <x:c r="G14" s="2" t="str">
        <x:v>미혼</x:v>
      </x:c>
      <x:c r="H14" s="7" t="n">
        <x:v>0</x:v>
      </x:c>
      <x:c r="I14" s="2" t="str">
        <x:f>IF(H14&lt;3,H14&amp;"명","3명 이상")</x:f>
        <x:v>0명</x:v>
      </x:c>
      <x:c r="J14" s="2" t="str">
        <x:v>비흡연</x:v>
      </x:c>
      <x:c r="K14" s="2" t="str">
        <x:v>없음</x:v>
      </x:c>
      <x:c r="L14" s="2" t="str">
        <x:v>없음</x:v>
      </x:c>
      <x:c r="M14" s="2" t="str">
        <x:v>수호천사 암/건강보험</x:v>
      </x:c>
      <x:c r="N14" s="2" t="str">
        <x:f>VLOOKUP(M14,'분류기준'!$A$5:$B$8,2,FALSE)</x:f>
        <x:v>암/건강보험</x:v>
      </x:c>
      <x:c r="O14" s="2" t="str">
        <x:v>수술비 보장 특약</x:v>
      </x:c>
      <x:c r="P14" s="2" t="str">
        <x:f>IF(O14="선택 안함","선택 안함",IF(O14="특약 없음","특약 없음","가입"))</x:f>
        <x:v>가입</x:v>
      </x:c>
      <x:c r="Q14" s="2" t="str">
        <x:f>IF(P14="가입","가입","미가입")</x:f>
        <x:v>가입</x:v>
      </x:c>
    </x:row>
    <x:row r="15" ht="23" customHeight="1">
      <x:c r="A15" s="2" t="str">
        <x:v>C0431</x:v>
      </x:c>
      <x:c r="B15" s="7" t="n">
        <x:v>20</x:v>
      </x:c>
      <x:c r="C15" s="2" t="str">
        <x:f>INT(B15/10)*10&amp;"대"</x:f>
        <x:v>20대</x:v>
      </x:c>
      <x:c r="D15" s="2" t="str">
        <x:v>남성</x:v>
      </x:c>
      <x:c r="E15" s="7" t="n">
        <x:v>3000</x:v>
      </x:c>
      <x:c r="F15" s="7" t="n">
        <x:v>1</x:v>
      </x:c>
      <x:c r="G15" s="2" t="str">
        <x:v>미혼</x:v>
      </x:c>
      <x:c r="H15" s="7" t="n">
        <x:v>0</x:v>
      </x:c>
      <x:c r="I15" s="2" t="str">
        <x:f>IF(H15&lt;3,H15&amp;"명","3명 이상")</x:f>
        <x:v>0명</x:v>
      </x:c>
      <x:c r="J15" s="2" t="str">
        <x:v>비흡연</x:v>
      </x:c>
      <x:c r="K15" s="2" t="str">
        <x:v>없음</x:v>
      </x:c>
      <x:c r="L15" s="2" t="str">
        <x:v>없음</x:v>
      </x:c>
      <x:c r="M15" s="2" t="str">
        <x:v>수호천사 암/건강보험</x:v>
      </x:c>
      <x:c r="N15" s="2" t="str">
        <x:f>VLOOKUP(M15,'분류기준'!$A$5:$B$8,2,FALSE)</x:f>
        <x:v>암/건강보험</x:v>
      </x:c>
      <x:c r="O15" s="2" t="str">
        <x:v>선택 안함</x:v>
      </x:c>
      <x:c r="P15" s="2" t="str">
        <x:f>IF(O15="선택 안함","선택 안함",IF(O15="특약 없음","특약 없음","가입"))</x:f>
        <x:v>선택 안함</x:v>
      </x:c>
      <x:c r="Q15" s="2" t="str">
        <x:f>IF(P15="가입","가입","미가입")</x:f>
        <x:v>미가입</x:v>
      </x:c>
    </x:row>
    <x:row r="16" ht="23" customHeight="1">
      <x:c r="A16" s="2" t="str">
        <x:v>C0437</x:v>
      </x:c>
      <x:c r="B16" s="7" t="n">
        <x:v>20</x:v>
      </x:c>
      <x:c r="C16" s="2" t="str">
        <x:f>INT(B16/10)*10&amp;"대"</x:f>
        <x:v>20대</x:v>
      </x:c>
      <x:c r="D16" s="2" t="str">
        <x:v>여성</x:v>
      </x:c>
      <x:c r="E16" s="7" t="n">
        <x:v>5000</x:v>
      </x:c>
      <x:c r="F16" s="7" t="n">
        <x:v>2</x:v>
      </x:c>
      <x:c r="G16" s="2" t="str">
        <x:v>기혼</x:v>
      </x:c>
      <x:c r="H16" s="7" t="n">
        <x:v>0</x:v>
      </x:c>
      <x:c r="I16" s="2" t="str">
        <x:f>IF(H16&lt;3,H16&amp;"명","3명 이상")</x:f>
        <x:v>0명</x:v>
      </x:c>
      <x:c r="J16" s="2" t="str">
        <x:v>비흡연</x:v>
      </x:c>
      <x:c r="K16" s="2" t="str">
        <x:v>없음</x:v>
      </x:c>
      <x:c r="L16" s="2" t="str">
        <x:v>암</x:v>
      </x:c>
      <x:c r="M16" s="2" t="str">
        <x:v>수호천사 간편심사(유병자)보험</x:v>
      </x:c>
      <x:c r="N16" s="2" t="str">
        <x:f>VLOOKUP(M16,'분류기준'!$A$5:$B$8,2,FALSE)</x:f>
        <x:v>간편심사보험</x:v>
      </x:c>
      <x:c r="O16" s="2" t="str">
        <x:v>중증질환 산정특례 보장 특약</x:v>
      </x:c>
      <x:c r="P16" s="2" t="str">
        <x:f>IF(O16="선택 안함","선택 안함",IF(O16="특약 없음","특약 없음","가입"))</x:f>
        <x:v>가입</x:v>
      </x:c>
      <x:c r="Q16" s="2" t="str">
        <x:f>IF(P16="가입","가입","미가입")</x:f>
        <x:v>가입</x:v>
      </x:c>
    </x:row>
    <x:row r="17" ht="23" customHeight="1">
      <x:c r="A17" s="2" t="str">
        <x:v>C0475</x:v>
      </x:c>
      <x:c r="B17" s="7" t="n">
        <x:v>20</x:v>
      </x:c>
      <x:c r="C17" s="2" t="str">
        <x:f>INT(B17/10)*10&amp;"대"</x:f>
        <x:v>20대</x:v>
      </x:c>
      <x:c r="D17" s="2" t="str">
        <x:v>남성</x:v>
      </x:c>
      <x:c r="E17" s="7" t="n">
        <x:v>4000</x:v>
      </x:c>
      <x:c r="F17" s="7" t="n">
        <x:v>1</x:v>
      </x:c>
      <x:c r="G17" s="2" t="str">
        <x:v>미혼</x:v>
      </x:c>
      <x:c r="H17" s="7" t="n">
        <x:v>0</x:v>
      </x:c>
      <x:c r="I17" s="2" t="str">
        <x:f>IF(H17&lt;3,H17&amp;"명","3명 이상")</x:f>
        <x:v>0명</x:v>
      </x:c>
      <x:c r="J17" s="2" t="str">
        <x:v>비흡연</x:v>
      </x:c>
      <x:c r="K17" s="2" t="str">
        <x:v>없음</x:v>
      </x:c>
      <x:c r="L17" s="2" t="str">
        <x:v>없음</x:v>
      </x:c>
      <x:c r="M17" s="2" t="str">
        <x:v>수호천사 암/건강보험</x:v>
      </x:c>
      <x:c r="N17" s="2" t="str">
        <x:f>VLOOKUP(M17,'분류기준'!$A$5:$B$8,2,FALSE)</x:f>
        <x:v>암/건강보험</x:v>
      </x:c>
      <x:c r="O17" s="2" t="str">
        <x:v>수술비 보장 특약</x:v>
      </x:c>
      <x:c r="P17" s="2" t="str">
        <x:f>IF(O17="선택 안함","선택 안함",IF(O17="특약 없음","특약 없음","가입"))</x:f>
        <x:v>가입</x:v>
      </x:c>
      <x:c r="Q17" s="2" t="str">
        <x:f>IF(P17="가입","가입","미가입")</x:f>
        <x:v>가입</x:v>
      </x:c>
    </x:row>
    <x:row r="18" ht="23" customHeight="1">
      <x:c r="A18" s="2" t="str">
        <x:v>C0496</x:v>
      </x:c>
      <x:c r="B18" s="7" t="n">
        <x:v>20</x:v>
      </x:c>
      <x:c r="C18" s="2" t="str">
        <x:f>INT(B18/10)*10&amp;"대"</x:f>
        <x:v>20대</x:v>
      </x:c>
      <x:c r="D18" s="2" t="str">
        <x:v>남성</x:v>
      </x:c>
      <x:c r="E18" s="7" t="n">
        <x:v>4000</x:v>
      </x:c>
      <x:c r="F18" s="7" t="n">
        <x:v>1</x:v>
      </x:c>
      <x:c r="G18" s="2" t="str">
        <x:v>미혼</x:v>
      </x:c>
      <x:c r="H18" s="7" t="n">
        <x:v>0</x:v>
      </x:c>
      <x:c r="I18" s="2" t="str">
        <x:f>IF(H18&lt;3,H18&amp;"명","3명 이상")</x:f>
        <x:v>0명</x:v>
      </x:c>
      <x:c r="J18" s="2" t="str">
        <x:v>흡연</x:v>
      </x:c>
      <x:c r="K18" s="2" t="str">
        <x:v>없음</x:v>
      </x:c>
      <x:c r="L18" s="2" t="str">
        <x:v>없음</x:v>
      </x:c>
      <x:c r="M18" s="2" t="str">
        <x:v>수호천사 행복 연금보험</x:v>
      </x:c>
      <x:c r="N18" s="2" t="str">
        <x:f>VLOOKUP(M18,'분류기준'!$A$5:$B$8,2,FALSE)</x:f>
        <x:v>연금보험</x:v>
      </x:c>
      <x:c r="O18" s="2" t="str">
        <x:v>특약 없음</x:v>
      </x:c>
      <x:c r="P18" s="2" t="str">
        <x:f>IF(O18="선택 안함","선택 안함",IF(O18="특약 없음","특약 없음","가입"))</x:f>
        <x:v>특약 없음</x:v>
      </x:c>
      <x:c r="Q18" s="2" t="str">
        <x:f>IF(P18="가입","가입","미가입")</x:f>
        <x:v>미가입</x:v>
      </x:c>
    </x:row>
    <x:row r="19" ht="23" customHeight="1">
      <x:c r="A19" s="2" t="str">
        <x:v>C0609</x:v>
      </x:c>
      <x:c r="B19" s="7" t="n">
        <x:v>20</x:v>
      </x:c>
      <x:c r="C19" s="2" t="str">
        <x:f>INT(B19/10)*10&amp;"대"</x:f>
        <x:v>20대</x:v>
      </x:c>
      <x:c r="D19" s="2" t="str">
        <x:v>여성</x:v>
      </x:c>
      <x:c r="E19" s="7" t="n">
        <x:v>3000</x:v>
      </x:c>
      <x:c r="F19" s="7" t="n">
        <x:v>1</x:v>
      </x:c>
      <x:c r="G19" s="2" t="str">
        <x:v>미혼</x:v>
      </x:c>
      <x:c r="H19" s="7" t="n">
        <x:v>0</x:v>
      </x:c>
      <x:c r="I19" s="2" t="str">
        <x:f>IF(H19&lt;3,H19&amp;"명","3명 이상")</x:f>
        <x:v>0명</x:v>
      </x:c>
      <x:c r="J19" s="2" t="str">
        <x:v>비흡연</x:v>
      </x:c>
      <x:c r="K19" s="2" t="str">
        <x:v>고혈압</x:v>
      </x:c>
      <x:c r="L19" s="2" t="str">
        <x:v>심혈관</x:v>
      </x:c>
      <x:c r="M19" s="2" t="str">
        <x:v>수호천사 간편심사(유병자)보험</x:v>
      </x:c>
      <x:c r="N19" s="2" t="str">
        <x:f>VLOOKUP(M19,'분류기준'!$A$5:$B$8,2,FALSE)</x:f>
        <x:v>간편심사보험</x:v>
      </x:c>
      <x:c r="O19" s="2" t="str">
        <x:v>중증질환 산정특례 보장 특약</x:v>
      </x:c>
      <x:c r="P19" s="2" t="str">
        <x:f>IF(O19="선택 안함","선택 안함",IF(O19="특약 없음","특약 없음","가입"))</x:f>
        <x:v>가입</x:v>
      </x:c>
      <x:c r="Q19" s="2" t="str">
        <x:f>IF(P19="가입","가입","미가입")</x:f>
        <x:v>가입</x:v>
      </x:c>
    </x:row>
    <x:row r="20" ht="23" customHeight="1">
      <x:c r="A20" s="2" t="str">
        <x:v>C0636</x:v>
      </x:c>
      <x:c r="B20" s="7" t="n">
        <x:v>20</x:v>
      </x:c>
      <x:c r="C20" s="2" t="str">
        <x:f>INT(B20/10)*10&amp;"대"</x:f>
        <x:v>20대</x:v>
      </x:c>
      <x:c r="D20" s="2" t="str">
        <x:v>여성</x:v>
      </x:c>
      <x:c r="E20" s="7" t="n">
        <x:v>12000</x:v>
      </x:c>
      <x:c r="F20" s="7" t="n">
        <x:v>1</x:v>
      </x:c>
      <x:c r="G20" s="2" t="str">
        <x:v>미혼</x:v>
      </x:c>
      <x:c r="H20" s="7" t="n">
        <x:v>0</x:v>
      </x:c>
      <x:c r="I20" s="2" t="str">
        <x:f>IF(H20&lt;3,H20&amp;"명","3명 이상")</x:f>
        <x:v>0명</x:v>
      </x:c>
      <x:c r="J20" s="2" t="str">
        <x:v>비흡연</x:v>
      </x:c>
      <x:c r="K20" s="2" t="str">
        <x:v>없음</x:v>
      </x:c>
      <x:c r="L20" s="2" t="str">
        <x:v>없음</x:v>
      </x:c>
      <x:c r="M20" s="2" t="str">
        <x:v>수호천사 간편심사(유병자)보험</x:v>
      </x:c>
      <x:c r="N20" s="2" t="str">
        <x:f>VLOOKUP(M20,'분류기준'!$A$5:$B$8,2,FALSE)</x:f>
        <x:v>간편심사보험</x:v>
      </x:c>
      <x:c r="O20" s="2" t="str">
        <x:v>중증질환 산정특례 보장 특약</x:v>
      </x:c>
      <x:c r="P20" s="2" t="str">
        <x:f>IF(O20="선택 안함","선택 안함",IF(O20="특약 없음","특약 없음","가입"))</x:f>
        <x:v>가입</x:v>
      </x:c>
      <x:c r="Q20" s="2" t="str">
        <x:f>IF(P20="가입","가입","미가입")</x:f>
        <x:v>가입</x:v>
      </x:c>
    </x:row>
    <x:row r="21" ht="23" customHeight="1">
      <x:c r="A21" s="2" t="str">
        <x:v>C0662</x:v>
      </x:c>
      <x:c r="B21" s="7" t="n">
        <x:v>20</x:v>
      </x:c>
      <x:c r="C21" s="2" t="str">
        <x:f>INT(B21/10)*10&amp;"대"</x:f>
        <x:v>20대</x:v>
      </x:c>
      <x:c r="D21" s="2" t="str">
        <x:v>남성</x:v>
      </x:c>
      <x:c r="E21" s="7" t="n">
        <x:v>7500</x:v>
      </x:c>
      <x:c r="F21" s="7" t="n">
        <x:v>1</x:v>
      </x:c>
      <x:c r="G21" s="2" t="str">
        <x:v>미혼</x:v>
      </x:c>
      <x:c r="H21" s="7" t="n">
        <x:v>0</x:v>
      </x:c>
      <x:c r="I21" s="2" t="str">
        <x:f>IF(H21&lt;3,H21&amp;"명","3명 이상")</x:f>
        <x:v>0명</x:v>
      </x:c>
      <x:c r="J21" s="2" t="str">
        <x:v>비흡연</x:v>
      </x:c>
      <x:c r="K21" s="2" t="str">
        <x:v>없음</x:v>
      </x:c>
      <x:c r="L21" s="2" t="str">
        <x:v>암</x:v>
      </x:c>
      <x:c r="M21" s="2" t="str">
        <x:v>수호천사 암/건강보험</x:v>
      </x:c>
      <x:c r="N21" s="2" t="str">
        <x:f>VLOOKUP(M21,'분류기준'!$A$5:$B$8,2,FALSE)</x:f>
        <x:v>암/건강보험</x:v>
      </x:c>
      <x:c r="O21" s="2" t="str">
        <x:v>수술비 보장 특약</x:v>
      </x:c>
      <x:c r="P21" s="2" t="str">
        <x:f>IF(O21="선택 안함","선택 안함",IF(O21="특약 없음","특약 없음","가입"))</x:f>
        <x:v>가입</x:v>
      </x:c>
      <x:c r="Q21" s="2" t="str">
        <x:f>IF(P21="가입","가입","미가입")</x:f>
        <x:v>가입</x:v>
      </x:c>
    </x:row>
    <x:row r="22" ht="23" customHeight="1">
      <x:c r="A22" s="2" t="str">
        <x:v>C0707</x:v>
      </x:c>
      <x:c r="B22" s="7" t="n">
        <x:v>20</x:v>
      </x:c>
      <x:c r="C22" s="2" t="str">
        <x:f>INT(B22/10)*10&amp;"대"</x:f>
        <x:v>20대</x:v>
      </x:c>
      <x:c r="D22" s="2" t="str">
        <x:v>여성</x:v>
      </x:c>
      <x:c r="E22" s="7" t="n">
        <x:v>4000</x:v>
      </x:c>
      <x:c r="F22" s="7" t="n">
        <x:v>1</x:v>
      </x:c>
      <x:c r="G22" s="2" t="str">
        <x:v>미혼</x:v>
      </x:c>
      <x:c r="H22" s="7" t="n">
        <x:v>0</x:v>
      </x:c>
      <x:c r="I22" s="2" t="str">
        <x:f>IF(H22&lt;3,H22&amp;"명","3명 이상")</x:f>
        <x:v>0명</x:v>
      </x:c>
      <x:c r="J22" s="2" t="str">
        <x:v>비흡연</x:v>
      </x:c>
      <x:c r="K22" s="2" t="str">
        <x:v>없음</x:v>
      </x:c>
      <x:c r="L22" s="2" t="str">
        <x:v>없음</x:v>
      </x:c>
      <x:c r="M22" s="2" t="str">
        <x:v>수호천사 행복 연금보험</x:v>
      </x:c>
      <x:c r="N22" s="2" t="str">
        <x:f>VLOOKUP(M22,'분류기준'!$A$5:$B$8,2,FALSE)</x:f>
        <x:v>연금보험</x:v>
      </x:c>
      <x:c r="O22" s="2" t="str">
        <x:v>특약 없음</x:v>
      </x:c>
      <x:c r="P22" s="2" t="str">
        <x:f>IF(O22="선택 안함","선택 안함",IF(O22="특약 없음","특약 없음","가입"))</x:f>
        <x:v>특약 없음</x:v>
      </x:c>
      <x:c r="Q22" s="2" t="str">
        <x:f>IF(P22="가입","가입","미가입")</x:f>
        <x:v>미가입</x:v>
      </x:c>
    </x:row>
    <x:row r="23" ht="23" customHeight="1">
      <x:c r="A23" s="2" t="str">
        <x:v>C0721</x:v>
      </x:c>
      <x:c r="B23" s="7" t="n">
        <x:v>20</x:v>
      </x:c>
      <x:c r="C23" s="2" t="str">
        <x:f>INT(B23/10)*10&amp;"대"</x:f>
        <x:v>20대</x:v>
      </x:c>
      <x:c r="D23" s="2" t="str">
        <x:v>남성</x:v>
      </x:c>
      <x:c r="E23" s="7" t="n">
        <x:v>7500</x:v>
      </x:c>
      <x:c r="F23" s="7" t="n">
        <x:v>1</x:v>
      </x:c>
      <x:c r="G23" s="2" t="str">
        <x:v>미혼</x:v>
      </x:c>
      <x:c r="H23" s="7" t="n">
        <x:v>0</x:v>
      </x:c>
      <x:c r="I23" s="2" t="str">
        <x:f>IF(H23&lt;3,H23&amp;"명","3명 이상")</x:f>
        <x:v>0명</x:v>
      </x:c>
      <x:c r="J23" s="2" t="str">
        <x:v>비흡연</x:v>
      </x:c>
      <x:c r="K23" s="2" t="str">
        <x:v>없음</x:v>
      </x:c>
      <x:c r="L23" s="2" t="str">
        <x:v>암</x:v>
      </x:c>
      <x:c r="M23" s="2" t="str">
        <x:v>수호천사 암/건강보험</x:v>
      </x:c>
      <x:c r="N23" s="2" t="str">
        <x:f>VLOOKUP(M23,'분류기준'!$A$5:$B$8,2,FALSE)</x:f>
        <x:v>암/건강보험</x:v>
      </x:c>
      <x:c r="O23" s="2" t="str">
        <x:v>수술비 보장 특약</x:v>
      </x:c>
      <x:c r="P23" s="2" t="str">
        <x:f>IF(O23="선택 안함","선택 안함",IF(O23="특약 없음","특약 없음","가입"))</x:f>
        <x:v>가입</x:v>
      </x:c>
      <x:c r="Q23" s="2" t="str">
        <x:f>IF(P23="가입","가입","미가입")</x:f>
        <x:v>가입</x:v>
      </x:c>
    </x:row>
    <x:row r="24" ht="23" customHeight="1">
      <x:c r="A24" s="2" t="str">
        <x:v>C0742</x:v>
      </x:c>
      <x:c r="B24" s="7" t="n">
        <x:v>20</x:v>
      </x:c>
      <x:c r="C24" s="2" t="str">
        <x:f>INT(B24/10)*10&amp;"대"</x:f>
        <x:v>20대</x:v>
      </x:c>
      <x:c r="D24" s="2" t="str">
        <x:v>여성</x:v>
      </x:c>
      <x:c r="E24" s="7" t="n">
        <x:v>5000</x:v>
      </x:c>
      <x:c r="F24" s="7" t="n">
        <x:v>1</x:v>
      </x:c>
      <x:c r="G24" s="2" t="str">
        <x:v>미혼</x:v>
      </x:c>
      <x:c r="H24" s="7" t="n">
        <x:v>0</x:v>
      </x:c>
      <x:c r="I24" s="2" t="str">
        <x:f>IF(H24&lt;3,H24&amp;"명","3명 이상")</x:f>
        <x:v>0명</x:v>
      </x:c>
      <x:c r="J24" s="2" t="str">
        <x:v>비흡연</x:v>
      </x:c>
      <x:c r="K24" s="2" t="str">
        <x:v>없음</x:v>
      </x:c>
      <x:c r="L24" s="2" t="str">
        <x:v>없음</x:v>
      </x:c>
      <x:c r="M24" s="2" t="str">
        <x:v>수호천사 우리가족 종신보험</x:v>
      </x:c>
      <x:c r="N24" s="2" t="str">
        <x:f>VLOOKUP(M24,'분류기준'!$A$5:$B$8,2,FALSE)</x:f>
        <x:v>종신보험</x:v>
      </x:c>
      <x:c r="O24" s="2" t="str">
        <x:v>선택 안함</x:v>
      </x:c>
      <x:c r="P24" s="2" t="str">
        <x:f>IF(O24="선택 안함","선택 안함",IF(O24="특약 없음","특약 없음","가입"))</x:f>
        <x:v>선택 안함</x:v>
      </x:c>
      <x:c r="Q24" s="2" t="str">
        <x:f>IF(P24="가입","가입","미가입")</x:f>
        <x:v>미가입</x:v>
      </x:c>
    </x:row>
    <x:row r="25" ht="23" customHeight="1">
      <x:c r="A25" s="2" t="str">
        <x:v>C0746</x:v>
      </x:c>
      <x:c r="B25" s="7" t="n">
        <x:v>20</x:v>
      </x:c>
      <x:c r="C25" s="2" t="str">
        <x:f>INT(B25/10)*10&amp;"대"</x:f>
        <x:v>20대</x:v>
      </x:c>
      <x:c r="D25" s="2" t="str">
        <x:v>여성</x:v>
      </x:c>
      <x:c r="E25" s="7" t="n">
        <x:v>6000</x:v>
      </x:c>
      <x:c r="F25" s="7" t="n">
        <x:v>3</x:v>
      </x:c>
      <x:c r="G25" s="2" t="str">
        <x:v>미혼</x:v>
      </x:c>
      <x:c r="H25" s="7" t="n">
        <x:v>0</x:v>
      </x:c>
      <x:c r="I25" s="2" t="str">
        <x:f>IF(H25&lt;3,H25&amp;"명","3명 이상")</x:f>
        <x:v>0명</x:v>
      </x:c>
      <x:c r="J25" s="2" t="str">
        <x:v>흡연</x:v>
      </x:c>
      <x:c r="K25" s="2" t="str">
        <x:v>없음</x:v>
      </x:c>
      <x:c r="L25" s="2" t="str">
        <x:v>없음</x:v>
      </x:c>
      <x:c r="M25" s="2" t="str">
        <x:v>수호천사 암/건강보험</x:v>
      </x:c>
      <x:c r="N25" s="2" t="str">
        <x:f>VLOOKUP(M25,'분류기준'!$A$5:$B$8,2,FALSE)</x:f>
        <x:v>암/건강보험</x:v>
      </x:c>
      <x:c r="O25" s="2" t="str">
        <x:v>선택 안함</x:v>
      </x:c>
      <x:c r="P25" s="2" t="str">
        <x:f>IF(O25="선택 안함","선택 안함",IF(O25="특약 없음","특약 없음","가입"))</x:f>
        <x:v>선택 안함</x:v>
      </x:c>
      <x:c r="Q25" s="2" t="str">
        <x:f>IF(P25="가입","가입","미가입")</x:f>
        <x:v>미가입</x:v>
      </x:c>
    </x:row>
    <x:row r="26" ht="23" customHeight="1">
      <x:c r="A26" s="2" t="str">
        <x:v>C0758</x:v>
      </x:c>
      <x:c r="B26" s="7" t="n">
        <x:v>20</x:v>
      </x:c>
      <x:c r="C26" s="2" t="str">
        <x:f>INT(B26/10)*10&amp;"대"</x:f>
        <x:v>20대</x:v>
      </x:c>
      <x:c r="D26" s="2" t="str">
        <x:v>남성</x:v>
      </x:c>
      <x:c r="E26" s="7" t="n">
        <x:v>5000</x:v>
      </x:c>
      <x:c r="F26" s="7" t="n">
        <x:v>1</x:v>
      </x:c>
      <x:c r="G26" s="2" t="str">
        <x:v>미혼</x:v>
      </x:c>
      <x:c r="H26" s="7" t="n">
        <x:v>0</x:v>
      </x:c>
      <x:c r="I26" s="2" t="str">
        <x:f>IF(H26&lt;3,H26&amp;"명","3명 이상")</x:f>
        <x:v>0명</x:v>
      </x:c>
      <x:c r="J26" s="2" t="str">
        <x:v>비흡연</x:v>
      </x:c>
      <x:c r="K26" s="2" t="str">
        <x:v>없음</x:v>
      </x:c>
      <x:c r="L26" s="2" t="str">
        <x:v>없음</x:v>
      </x:c>
      <x:c r="M26" s="2" t="str">
        <x:v>수호천사 행복 연금보험</x:v>
      </x:c>
      <x:c r="N26" s="2" t="str">
        <x:f>VLOOKUP(M26,'분류기준'!$A$5:$B$8,2,FALSE)</x:f>
        <x:v>연금보험</x:v>
      </x:c>
      <x:c r="O26" s="2" t="str">
        <x:v>특약 없음</x:v>
      </x:c>
      <x:c r="P26" s="2" t="str">
        <x:f>IF(O26="선택 안함","선택 안함",IF(O26="특약 없음","특약 없음","가입"))</x:f>
        <x:v>특약 없음</x:v>
      </x:c>
      <x:c r="Q26" s="2" t="str">
        <x:f>IF(P26="가입","가입","미가입")</x:f>
        <x:v>미가입</x:v>
      </x:c>
    </x:row>
    <x:row r="27" ht="23" customHeight="1">
      <x:c r="A27" s="2" t="str">
        <x:v>C0830</x:v>
      </x:c>
      <x:c r="B27" s="7" t="n">
        <x:v>20</x:v>
      </x:c>
      <x:c r="C27" s="2" t="str">
        <x:f>INT(B27/10)*10&amp;"대"</x:f>
        <x:v>20대</x:v>
      </x:c>
      <x:c r="D27" s="2" t="str">
        <x:v>여성</x:v>
      </x:c>
      <x:c r="E27" s="7" t="n">
        <x:v>5000</x:v>
      </x:c>
      <x:c r="F27" s="7" t="n">
        <x:v>2</x:v>
      </x:c>
      <x:c r="G27" s="2" t="str">
        <x:v>미혼</x:v>
      </x:c>
      <x:c r="H27" s="7" t="n">
        <x:v>0</x:v>
      </x:c>
      <x:c r="I27" s="2" t="str">
        <x:f>IF(H27&lt;3,H27&amp;"명","3명 이상")</x:f>
        <x:v>0명</x:v>
      </x:c>
      <x:c r="J27" s="2" t="str">
        <x:v>비흡연</x:v>
      </x:c>
      <x:c r="K27" s="2" t="str">
        <x:v>없음</x:v>
      </x:c>
      <x:c r="L27" s="2" t="str">
        <x:v>없음</x:v>
      </x:c>
      <x:c r="M27" s="2" t="str">
        <x:v>수호천사 행복 연금보험</x:v>
      </x:c>
      <x:c r="N27" s="2" t="str">
        <x:f>VLOOKUP(M27,'분류기준'!$A$5:$B$8,2,FALSE)</x:f>
        <x:v>연금보험</x:v>
      </x:c>
      <x:c r="O27" s="2" t="str">
        <x:v>특약 없음</x:v>
      </x:c>
      <x:c r="P27" s="2" t="str">
        <x:f>IF(O27="선택 안함","선택 안함",IF(O27="특약 없음","특약 없음","가입"))</x:f>
        <x:v>특약 없음</x:v>
      </x:c>
      <x:c r="Q27" s="2" t="str">
        <x:f>IF(P27="가입","가입","미가입")</x:f>
        <x:v>미가입</x:v>
      </x:c>
    </x:row>
    <x:row r="28" ht="23" customHeight="1">
      <x:c r="A28" s="2" t="str">
        <x:v>C0849</x:v>
      </x:c>
      <x:c r="B28" s="7" t="n">
        <x:v>20</x:v>
      </x:c>
      <x:c r="C28" s="2" t="str">
        <x:f>INT(B28/10)*10&amp;"대"</x:f>
        <x:v>20대</x:v>
      </x:c>
      <x:c r="D28" s="2" t="str">
        <x:v>남성</x:v>
      </x:c>
      <x:c r="E28" s="7" t="n">
        <x:v>3000</x:v>
      </x:c>
      <x:c r="F28" s="7" t="n">
        <x:v>1</x:v>
      </x:c>
      <x:c r="G28" s="2" t="str">
        <x:v>미혼</x:v>
      </x:c>
      <x:c r="H28" s="7" t="n">
        <x:v>0</x:v>
      </x:c>
      <x:c r="I28" s="2" t="str">
        <x:f>IF(H28&lt;3,H28&amp;"명","3명 이상")</x:f>
        <x:v>0명</x:v>
      </x:c>
      <x:c r="J28" s="2" t="str">
        <x:v>흡연</x:v>
      </x:c>
      <x:c r="K28" s="2" t="str">
        <x:v>없음</x:v>
      </x:c>
      <x:c r="L28" s="2" t="str">
        <x:v>없음</x:v>
      </x:c>
      <x:c r="M28" s="2" t="str">
        <x:v>수호천사 간편심사(유병자)보험</x:v>
      </x:c>
      <x:c r="N28" s="2" t="str">
        <x:f>VLOOKUP(M28,'분류기준'!$A$5:$B$8,2,FALSE)</x:f>
        <x:v>간편심사보험</x:v>
      </x:c>
      <x:c r="O28" s="2" t="str">
        <x:v>중증질환 산정특례 보장 특약</x:v>
      </x:c>
      <x:c r="P28" s="2" t="str">
        <x:f>IF(O28="선택 안함","선택 안함",IF(O28="특약 없음","특약 없음","가입"))</x:f>
        <x:v>가입</x:v>
      </x:c>
      <x:c r="Q28" s="2" t="str">
        <x:f>IF(P28="가입","가입","미가입")</x:f>
        <x:v>가입</x:v>
      </x:c>
    </x:row>
    <x:row r="29" ht="23" customHeight="1">
      <x:c r="A29" s="2" t="str">
        <x:v>C0956</x:v>
      </x:c>
      <x:c r="B29" s="7" t="n">
        <x:v>20</x:v>
      </x:c>
      <x:c r="C29" s="2" t="str">
        <x:f>INT(B29/10)*10&amp;"대"</x:f>
        <x:v>20대</x:v>
      </x:c>
      <x:c r="D29" s="2" t="str">
        <x:v>남성</x:v>
      </x:c>
      <x:c r="E29" s="7" t="n">
        <x:v>6000</x:v>
      </x:c>
      <x:c r="F29" s="7" t="n">
        <x:v>1</x:v>
      </x:c>
      <x:c r="G29" s="2" t="str">
        <x:v>기혼</x:v>
      </x:c>
      <x:c r="H29" s="7" t="n">
        <x:v>0</x:v>
      </x:c>
      <x:c r="I29" s="2" t="str">
        <x:f>IF(H29&lt;3,H29&amp;"명","3명 이상")</x:f>
        <x:v>0명</x:v>
      </x:c>
      <x:c r="J29" s="2" t="str">
        <x:v>비흡연</x:v>
      </x:c>
      <x:c r="K29" s="2" t="str">
        <x:v>없음</x:v>
      </x:c>
      <x:c r="L29" s="2" t="str">
        <x:v>암</x:v>
      </x:c>
      <x:c r="M29" s="2" t="str">
        <x:v>수호천사 암/건강보험</x:v>
      </x:c>
      <x:c r="N29" s="2" t="str">
        <x:f>VLOOKUP(M29,'분류기준'!$A$5:$B$8,2,FALSE)</x:f>
        <x:v>암/건강보험</x:v>
      </x:c>
      <x:c r="O29" s="2" t="str">
        <x:v>수술비 보장 특약</x:v>
      </x:c>
      <x:c r="P29" s="2" t="str">
        <x:f>IF(O29="선택 안함","선택 안함",IF(O29="특약 없음","특약 없음","가입"))</x:f>
        <x:v>가입</x:v>
      </x:c>
      <x:c r="Q29" s="2" t="str">
        <x:f>IF(P29="가입","가입","미가입")</x:f>
        <x:v>가입</x:v>
      </x:c>
    </x:row>
    <x:row r="30" ht="23" customHeight="1">
      <x:c r="A30" s="2" t="str">
        <x:v>C0978</x:v>
      </x:c>
      <x:c r="B30" s="7" t="n">
        <x:v>20</x:v>
      </x:c>
      <x:c r="C30" s="2" t="str">
        <x:f>INT(B30/10)*10&amp;"대"</x:f>
        <x:v>20대</x:v>
      </x:c>
      <x:c r="D30" s="2" t="str">
        <x:v>남성</x:v>
      </x:c>
      <x:c r="E30" s="7" t="n">
        <x:v>3000</x:v>
      </x:c>
      <x:c r="F30" s="7" t="n">
        <x:v>1</x:v>
      </x:c>
      <x:c r="G30" s="2" t="str">
        <x:v>미혼</x:v>
      </x:c>
      <x:c r="H30" s="7" t="n">
        <x:v>0</x:v>
      </x:c>
      <x:c r="I30" s="2" t="str">
        <x:f>IF(H30&lt;3,H30&amp;"명","3명 이상")</x:f>
        <x:v>0명</x:v>
      </x:c>
      <x:c r="J30" s="2" t="str">
        <x:v>비흡연</x:v>
      </x:c>
      <x:c r="K30" s="2" t="str">
        <x:v>없음</x:v>
      </x:c>
      <x:c r="L30" s="2" t="str">
        <x:v>없음</x:v>
      </x:c>
      <x:c r="M30" s="2" t="str">
        <x:v>수호천사 암/건강보험</x:v>
      </x:c>
      <x:c r="N30" s="2" t="str">
        <x:f>VLOOKUP(M30,'분류기준'!$A$5:$B$8,2,FALSE)</x:f>
        <x:v>암/건강보험</x:v>
      </x:c>
      <x:c r="O30" s="2" t="str">
        <x:v>수술비 보장 특약</x:v>
      </x:c>
      <x:c r="P30" s="2" t="str">
        <x:f>IF(O30="선택 안함","선택 안함",IF(O30="특약 없음","특약 없음","가입"))</x:f>
        <x:v>가입</x:v>
      </x:c>
      <x:c r="Q30" s="2" t="str">
        <x:f>IF(P30="가입","가입","미가입")</x:f>
        <x:v>가입</x:v>
      </x:c>
    </x:row>
    <x:row r="31" ht="23" customHeight="1">
      <x:c r="A31" s="2" t="str">
        <x:v>C0999</x:v>
      </x:c>
      <x:c r="B31" s="7" t="n">
        <x:v>20</x:v>
      </x:c>
      <x:c r="C31" s="2" t="str">
        <x:f>INT(B31/10)*10&amp;"대"</x:f>
        <x:v>20대</x:v>
      </x:c>
      <x:c r="D31" s="2" t="str">
        <x:v>여성</x:v>
      </x:c>
      <x:c r="E31" s="7" t="n">
        <x:v>5000</x:v>
      </x:c>
      <x:c r="F31" s="7" t="n">
        <x:v>1</x:v>
      </x:c>
      <x:c r="G31" s="2" t="str">
        <x:v>미혼</x:v>
      </x:c>
      <x:c r="H31" s="7" t="n">
        <x:v>0</x:v>
      </x:c>
      <x:c r="I31" s="2" t="str">
        <x:f>IF(H31&lt;3,H31&amp;"명","3명 이상")</x:f>
        <x:v>0명</x:v>
      </x:c>
      <x:c r="J31" s="2" t="str">
        <x:v>비흡연</x:v>
      </x:c>
      <x:c r="K31" s="2" t="str">
        <x:v>없음</x:v>
      </x:c>
      <x:c r="L31" s="2" t="str">
        <x:v>암</x:v>
      </x:c>
      <x:c r="M31" s="2" t="str">
        <x:v>수호천사 우리가족 종신보험</x:v>
      </x:c>
      <x:c r="N31" s="2" t="str">
        <x:f>VLOOKUP(M31,'분류기준'!$A$5:$B$8,2,FALSE)</x:f>
        <x:v>종신보험</x:v>
      </x:c>
      <x:c r="O31" s="2" t="str">
        <x:v>선택 안함</x:v>
      </x:c>
      <x:c r="P31" s="2" t="str">
        <x:f>IF(O31="선택 안함","선택 안함",IF(O31="특약 없음","특약 없음","가입"))</x:f>
        <x:v>선택 안함</x:v>
      </x:c>
      <x:c r="Q31" s="2" t="str">
        <x:f>IF(P31="가입","가입","미가입")</x:f>
        <x:v>미가입</x:v>
      </x:c>
    </x:row>
    <x:row r="32" ht="23" customHeight="1">
      <x:c r="A32" s="2" t="str">
        <x:v>C0018</x:v>
      </x:c>
      <x:c r="B32" s="7" t="n">
        <x:v>21</x:v>
      </x:c>
      <x:c r="C32" s="2" t="str">
        <x:f>INT(B32/10)*10&amp;"대"</x:f>
        <x:v>20대</x:v>
      </x:c>
      <x:c r="D32" s="2" t="str">
        <x:v>여성</x:v>
      </x:c>
      <x:c r="E32" s="7" t="n">
        <x:v>3000</x:v>
      </x:c>
      <x:c r="F32" s="7" t="n">
        <x:v>1</x:v>
      </x:c>
      <x:c r="G32" s="2" t="str">
        <x:v>미혼</x:v>
      </x:c>
      <x:c r="H32" s="7" t="n">
        <x:v>0</x:v>
      </x:c>
      <x:c r="I32" s="2" t="str">
        <x:f>IF(H32&lt;3,H32&amp;"명","3명 이상")</x:f>
        <x:v>0명</x:v>
      </x:c>
      <x:c r="J32" s="2" t="str">
        <x:v>비흡연</x:v>
      </x:c>
      <x:c r="K32" s="2" t="str">
        <x:v>없음</x:v>
      </x:c>
      <x:c r="L32" s="2" t="str">
        <x:v>심혈관</x:v>
      </x:c>
      <x:c r="M32" s="2" t="str">
        <x:v>수호천사 우리가족 종신보험</x:v>
      </x:c>
      <x:c r="N32" s="2" t="str">
        <x:f>VLOOKUP(M32,'분류기준'!$A$5:$B$8,2,FALSE)</x:f>
        <x:v>종신보험</x:v>
      </x:c>
      <x:c r="O32" s="2" t="str">
        <x:v>선택 안함</x:v>
      </x:c>
      <x:c r="P32" s="2" t="str">
        <x:f>IF(O32="선택 안함","선택 안함",IF(O32="특약 없음","특약 없음","가입"))</x:f>
        <x:v>선택 안함</x:v>
      </x:c>
      <x:c r="Q32" s="2" t="str">
        <x:f>IF(P32="가입","가입","미가입")</x:f>
        <x:v>미가입</x:v>
      </x:c>
    </x:row>
    <x:row r="33" ht="23" customHeight="1">
      <x:c r="A33" s="2" t="str">
        <x:v>C0023</x:v>
      </x:c>
      <x:c r="B33" s="7" t="n">
        <x:v>21</x:v>
      </x:c>
      <x:c r="C33" s="2" t="str">
        <x:f>INT(B33/10)*10&amp;"대"</x:f>
        <x:v>20대</x:v>
      </x:c>
      <x:c r="D33" s="2" t="str">
        <x:v>남성</x:v>
      </x:c>
      <x:c r="E33" s="7" t="n">
        <x:v>4000</x:v>
      </x:c>
      <x:c r="F33" s="7" t="n">
        <x:v>1</x:v>
      </x:c>
      <x:c r="G33" s="2" t="str">
        <x:v>기혼</x:v>
      </x:c>
      <x:c r="H33" s="7" t="n">
        <x:v>1</x:v>
      </x:c>
      <x:c r="I33" s="2" t="str">
        <x:f>IF(H33&lt;3,H33&amp;"명","3명 이상")</x:f>
        <x:v>1명</x:v>
      </x:c>
      <x:c r="J33" s="2" t="str">
        <x:v>비흡연</x:v>
      </x:c>
      <x:c r="K33" s="2" t="str">
        <x:v>없음</x:v>
      </x:c>
      <x:c r="L33" s="2" t="str">
        <x:v>없음</x:v>
      </x:c>
      <x:c r="M33" s="2" t="str">
        <x:v>수호천사 암/건강보험</x:v>
      </x:c>
      <x:c r="N33" s="2" t="str">
        <x:f>VLOOKUP(M33,'분류기준'!$A$5:$B$8,2,FALSE)</x:f>
        <x:v>암/건강보험</x:v>
      </x:c>
      <x:c r="O33" s="2" t="str">
        <x:v>수술비 보장 특약</x:v>
      </x:c>
      <x:c r="P33" s="2" t="str">
        <x:f>IF(O33="선택 안함","선택 안함",IF(O33="특약 없음","특약 없음","가입"))</x:f>
        <x:v>가입</x:v>
      </x:c>
      <x:c r="Q33" s="2" t="str">
        <x:f>IF(P33="가입","가입","미가입")</x:f>
        <x:v>가입</x:v>
      </x:c>
    </x:row>
    <x:row r="34" ht="23" customHeight="1">
      <x:c r="A34" s="2" t="str">
        <x:v>C0048</x:v>
      </x:c>
      <x:c r="B34" s="7" t="n">
        <x:v>21</x:v>
      </x:c>
      <x:c r="C34" s="2" t="str">
        <x:f>INT(B34/10)*10&amp;"대"</x:f>
        <x:v>20대</x:v>
      </x:c>
      <x:c r="D34" s="2" t="str">
        <x:v>남성</x:v>
      </x:c>
      <x:c r="E34" s="7" t="n">
        <x:v>4000</x:v>
      </x:c>
      <x:c r="F34" s="7" t="n">
        <x:v>1</x:v>
      </x:c>
      <x:c r="G34" s="2" t="str">
        <x:v>미혼</x:v>
      </x:c>
      <x:c r="H34" s="7" t="n">
        <x:v>0</x:v>
      </x:c>
      <x:c r="I34" s="2" t="str">
        <x:f>IF(H34&lt;3,H34&amp;"명","3명 이상")</x:f>
        <x:v>0명</x:v>
      </x:c>
      <x:c r="J34" s="2" t="str">
        <x:v>비흡연</x:v>
      </x:c>
      <x:c r="K34" s="2" t="str">
        <x:v>없음</x:v>
      </x:c>
      <x:c r="L34" s="2" t="str">
        <x:v>없음</x:v>
      </x:c>
      <x:c r="M34" s="2" t="str">
        <x:v>수호천사 암/건강보험</x:v>
      </x:c>
      <x:c r="N34" s="2" t="str">
        <x:f>VLOOKUP(M34,'분류기준'!$A$5:$B$8,2,FALSE)</x:f>
        <x:v>암/건강보험</x:v>
      </x:c>
      <x:c r="O34" s="2" t="str">
        <x:v>수술비 보장 특약</x:v>
      </x:c>
      <x:c r="P34" s="2" t="str">
        <x:f>IF(O34="선택 안함","선택 안함",IF(O34="특약 없음","특약 없음","가입"))</x:f>
        <x:v>가입</x:v>
      </x:c>
      <x:c r="Q34" s="2" t="str">
        <x:f>IF(P34="가입","가입","미가입")</x:f>
        <x:v>가입</x:v>
      </x:c>
    </x:row>
    <x:row r="35" ht="23" customHeight="1">
      <x:c r="A35" s="2" t="str">
        <x:v>C0060</x:v>
      </x:c>
      <x:c r="B35" s="7" t="n">
        <x:v>21</x:v>
      </x:c>
      <x:c r="C35" s="2" t="str">
        <x:f>INT(B35/10)*10&amp;"대"</x:f>
        <x:v>20대</x:v>
      </x:c>
      <x:c r="D35" s="2" t="str">
        <x:v>여성</x:v>
      </x:c>
      <x:c r="E35" s="7" t="n">
        <x:v>7500</x:v>
      </x:c>
      <x:c r="F35" s="7" t="n">
        <x:v>3</x:v>
      </x:c>
      <x:c r="G35" s="2" t="str">
        <x:v>기혼</x:v>
      </x:c>
      <x:c r="H35" s="7" t="n">
        <x:v>0</x:v>
      </x:c>
      <x:c r="I35" s="2" t="str">
        <x:f>IF(H35&lt;3,H35&amp;"명","3명 이상")</x:f>
        <x:v>0명</x:v>
      </x:c>
      <x:c r="J35" s="2" t="str">
        <x:v>비흡연</x:v>
      </x:c>
      <x:c r="K35" s="2" t="str">
        <x:v>없음</x:v>
      </x:c>
      <x:c r="L35" s="2" t="str">
        <x:v>심혈관</x:v>
      </x:c>
      <x:c r="M35" s="2" t="str">
        <x:v>수호천사 암/건강보험</x:v>
      </x:c>
      <x:c r="N35" s="2" t="str">
        <x:f>VLOOKUP(M35,'분류기준'!$A$5:$B$8,2,FALSE)</x:f>
        <x:v>암/건강보험</x:v>
      </x:c>
      <x:c r="O35" s="2" t="str">
        <x:v>표적항암약물허가치료 특약</x:v>
      </x:c>
      <x:c r="P35" s="2" t="str">
        <x:f>IF(O35="선택 안함","선택 안함",IF(O35="특약 없음","특약 없음","가입"))</x:f>
        <x:v>가입</x:v>
      </x:c>
      <x:c r="Q35" s="2" t="str">
        <x:f>IF(P35="가입","가입","미가입")</x:f>
        <x:v>가입</x:v>
      </x:c>
    </x:row>
    <x:row r="36" ht="23" customHeight="1">
      <x:c r="A36" s="2" t="str">
        <x:v>C0160</x:v>
      </x:c>
      <x:c r="B36" s="7" t="n">
        <x:v>21</x:v>
      </x:c>
      <x:c r="C36" s="2" t="str">
        <x:f>INT(B36/10)*10&amp;"대"</x:f>
        <x:v>20대</x:v>
      </x:c>
      <x:c r="D36" s="2" t="str">
        <x:v>여성</x:v>
      </x:c>
      <x:c r="E36" s="7" t="n">
        <x:v>7500</x:v>
      </x:c>
      <x:c r="F36" s="7" t="n">
        <x:v>1</x:v>
      </x:c>
      <x:c r="G36" s="2" t="str">
        <x:v>미혼</x:v>
      </x:c>
      <x:c r="H36" s="7" t="n">
        <x:v>0</x:v>
      </x:c>
      <x:c r="I36" s="2" t="str">
        <x:f>IF(H36&lt;3,H36&amp;"명","3명 이상")</x:f>
        <x:v>0명</x:v>
      </x:c>
      <x:c r="J36" s="2" t="str">
        <x:v>비흡연</x:v>
      </x:c>
      <x:c r="K36" s="2" t="str">
        <x:v>없음</x:v>
      </x:c>
      <x:c r="L36" s="2" t="str">
        <x:v>암</x:v>
      </x:c>
      <x:c r="M36" s="2" t="str">
        <x:v>수호천사 암/건강보험</x:v>
      </x:c>
      <x:c r="N36" s="2" t="str">
        <x:f>VLOOKUP(M36,'분류기준'!$A$5:$B$8,2,FALSE)</x:f>
        <x:v>암/건강보험</x:v>
      </x:c>
      <x:c r="O36" s="2" t="str">
        <x:v>표적항암약물허가치료 특약</x:v>
      </x:c>
      <x:c r="P36" s="2" t="str">
        <x:f>IF(O36="선택 안함","선택 안함",IF(O36="특약 없음","특약 없음","가입"))</x:f>
        <x:v>가입</x:v>
      </x:c>
      <x:c r="Q36" s="2" t="str">
        <x:f>IF(P36="가입","가입","미가입")</x:f>
        <x:v>가입</x:v>
      </x:c>
    </x:row>
    <x:row r="37" ht="23" customHeight="1">
      <x:c r="A37" s="2" t="str">
        <x:v>C0197</x:v>
      </x:c>
      <x:c r="B37" s="7" t="n">
        <x:v>21</x:v>
      </x:c>
      <x:c r="C37" s="2" t="str">
        <x:f>INT(B37/10)*10&amp;"대"</x:f>
        <x:v>20대</x:v>
      </x:c>
      <x:c r="D37" s="2" t="str">
        <x:v>남성</x:v>
      </x:c>
      <x:c r="E37" s="7" t="n">
        <x:v>3000</x:v>
      </x:c>
      <x:c r="F37" s="7" t="n">
        <x:v>2</x:v>
      </x:c>
      <x:c r="G37" s="2" t="str">
        <x:v>미혼</x:v>
      </x:c>
      <x:c r="H37" s="7" t="n">
        <x:v>0</x:v>
      </x:c>
      <x:c r="I37" s="2" t="str">
        <x:f>IF(H37&lt;3,H37&amp;"명","3명 이상")</x:f>
        <x:v>0명</x:v>
      </x:c>
      <x:c r="J37" s="2" t="str">
        <x:v>비흡연</x:v>
      </x:c>
      <x:c r="K37" s="2" t="str">
        <x:v>없음</x:v>
      </x:c>
      <x:c r="L37" s="2" t="str">
        <x:v>심혈관</x:v>
      </x:c>
      <x:c r="M37" s="2" t="str">
        <x:v>수호천사 암/건강보험</x:v>
      </x:c>
      <x:c r="N37" s="2" t="str">
        <x:f>VLOOKUP(M37,'분류기준'!$A$5:$B$8,2,FALSE)</x:f>
        <x:v>암/건강보험</x:v>
      </x:c>
      <x:c r="O37" s="2" t="str">
        <x:v>수술비 보장 특약</x:v>
      </x:c>
      <x:c r="P37" s="2" t="str">
        <x:f>IF(O37="선택 안함","선택 안함",IF(O37="특약 없음","특약 없음","가입"))</x:f>
        <x:v>가입</x:v>
      </x:c>
      <x:c r="Q37" s="2" t="str">
        <x:f>IF(P37="가입","가입","미가입")</x:f>
        <x:v>가입</x:v>
      </x:c>
    </x:row>
    <x:row r="38" ht="23" customHeight="1">
      <x:c r="A38" s="2" t="str">
        <x:v>C0201</x:v>
      </x:c>
      <x:c r="B38" s="7" t="n">
        <x:v>21</x:v>
      </x:c>
      <x:c r="C38" s="2" t="str">
        <x:f>INT(B38/10)*10&amp;"대"</x:f>
        <x:v>20대</x:v>
      </x:c>
      <x:c r="D38" s="2" t="str">
        <x:v>남성</x:v>
      </x:c>
      <x:c r="E38" s="7" t="n">
        <x:v>3000</x:v>
      </x:c>
      <x:c r="F38" s="7" t="n">
        <x:v>1</x:v>
      </x:c>
      <x:c r="G38" s="2" t="str">
        <x:v>미혼</x:v>
      </x:c>
      <x:c r="H38" s="7" t="n">
        <x:v>0</x:v>
      </x:c>
      <x:c r="I38" s="2" t="str">
        <x:f>IF(H38&lt;3,H38&amp;"명","3명 이상")</x:f>
        <x:v>0명</x:v>
      </x:c>
      <x:c r="J38" s="2" t="str">
        <x:v>비흡연</x:v>
      </x:c>
      <x:c r="K38" s="2" t="str">
        <x:v>없음</x:v>
      </x:c>
      <x:c r="L38" s="2" t="str">
        <x:v>암</x:v>
      </x:c>
      <x:c r="M38" s="2" t="str">
        <x:v>수호천사 간편심사(유병자)보험</x:v>
      </x:c>
      <x:c r="N38" s="2" t="str">
        <x:f>VLOOKUP(M38,'분류기준'!$A$5:$B$8,2,FALSE)</x:f>
        <x:v>간편심사보험</x:v>
      </x:c>
      <x:c r="O38" s="2" t="str">
        <x:v>중증질환 산정특례 보장 특약</x:v>
      </x:c>
      <x:c r="P38" s="2" t="str">
        <x:f>IF(O38="선택 안함","선택 안함",IF(O38="특약 없음","특약 없음","가입"))</x:f>
        <x:v>가입</x:v>
      </x:c>
      <x:c r="Q38" s="2" t="str">
        <x:f>IF(P38="가입","가입","미가입")</x:f>
        <x:v>가입</x:v>
      </x:c>
    </x:row>
    <x:row r="39" ht="23" customHeight="1">
      <x:c r="A39" s="2" t="str">
        <x:v>C0202</x:v>
      </x:c>
      <x:c r="B39" s="7" t="n">
        <x:v>21</x:v>
      </x:c>
      <x:c r="C39" s="2" t="str">
        <x:f>INT(B39/10)*10&amp;"대"</x:f>
        <x:v>20대</x:v>
      </x:c>
      <x:c r="D39" s="2" t="str">
        <x:v>남성</x:v>
      </x:c>
      <x:c r="E39" s="7" t="n">
        <x:v>4000</x:v>
      </x:c>
      <x:c r="F39" s="7" t="n">
        <x:v>1</x:v>
      </x:c>
      <x:c r="G39" s="2" t="str">
        <x:v>미혼</x:v>
      </x:c>
      <x:c r="H39" s="7" t="n">
        <x:v>0</x:v>
      </x:c>
      <x:c r="I39" s="2" t="str">
        <x:f>IF(H39&lt;3,H39&amp;"명","3명 이상")</x:f>
        <x:v>0명</x:v>
      </x:c>
      <x:c r="J39" s="2" t="str">
        <x:v>흡연</x:v>
      </x:c>
      <x:c r="K39" s="2" t="str">
        <x:v>없음</x:v>
      </x:c>
      <x:c r="L39" s="2" t="str">
        <x:v>없음</x:v>
      </x:c>
      <x:c r="M39" s="2" t="str">
        <x:v>수호천사 행복 연금보험</x:v>
      </x:c>
      <x:c r="N39" s="2" t="str">
        <x:f>VLOOKUP(M39,'분류기준'!$A$5:$B$8,2,FALSE)</x:f>
        <x:v>연금보험</x:v>
      </x:c>
      <x:c r="O39" s="2" t="str">
        <x:v>특약 없음</x:v>
      </x:c>
      <x:c r="P39" s="2" t="str">
        <x:f>IF(O39="선택 안함","선택 안함",IF(O39="특약 없음","특약 없음","가입"))</x:f>
        <x:v>특약 없음</x:v>
      </x:c>
      <x:c r="Q39" s="2" t="str">
        <x:f>IF(P39="가입","가입","미가입")</x:f>
        <x:v>미가입</x:v>
      </x:c>
    </x:row>
    <x:row r="40" ht="23" customHeight="1">
      <x:c r="A40" s="2" t="str">
        <x:v>C0210</x:v>
      </x:c>
      <x:c r="B40" s="7" t="n">
        <x:v>21</x:v>
      </x:c>
      <x:c r="C40" s="2" t="str">
        <x:f>INT(B40/10)*10&amp;"대"</x:f>
        <x:v>20대</x:v>
      </x:c>
      <x:c r="D40" s="2" t="str">
        <x:v>남성</x:v>
      </x:c>
      <x:c r="E40" s="7" t="n">
        <x:v>3000</x:v>
      </x:c>
      <x:c r="F40" s="7" t="n">
        <x:v>1</x:v>
      </x:c>
      <x:c r="G40" s="2" t="str">
        <x:v>미혼</x:v>
      </x:c>
      <x:c r="H40" s="7" t="n">
        <x:v>0</x:v>
      </x:c>
      <x:c r="I40" s="2" t="str">
        <x:f>IF(H40&lt;3,H40&amp;"명","3명 이상")</x:f>
        <x:v>0명</x:v>
      </x:c>
      <x:c r="J40" s="2" t="str">
        <x:v>비흡연</x:v>
      </x:c>
      <x:c r="K40" s="2" t="str">
        <x:v>없음</x:v>
      </x:c>
      <x:c r="L40" s="2" t="str">
        <x:v>심혈관</x:v>
      </x:c>
      <x:c r="M40" s="2" t="str">
        <x:v>수호천사 암/건강보험</x:v>
      </x:c>
      <x:c r="N40" s="2" t="str">
        <x:f>VLOOKUP(M40,'분류기준'!$A$5:$B$8,2,FALSE)</x:f>
        <x:v>암/건강보험</x:v>
      </x:c>
      <x:c r="O40" s="2" t="str">
        <x:v>수술비 보장 특약</x:v>
      </x:c>
      <x:c r="P40" s="2" t="str">
        <x:f>IF(O40="선택 안함","선택 안함",IF(O40="특약 없음","특약 없음","가입"))</x:f>
        <x:v>가입</x:v>
      </x:c>
      <x:c r="Q40" s="2" t="str">
        <x:f>IF(P40="가입","가입","미가입")</x:f>
        <x:v>가입</x:v>
      </x:c>
    </x:row>
    <x:row r="41" ht="23" customHeight="1">
      <x:c r="A41" s="2" t="str">
        <x:v>C0260</x:v>
      </x:c>
      <x:c r="B41" s="7" t="n">
        <x:v>21</x:v>
      </x:c>
      <x:c r="C41" s="2" t="str">
        <x:f>INT(B41/10)*10&amp;"대"</x:f>
        <x:v>20대</x:v>
      </x:c>
      <x:c r="D41" s="2" t="str">
        <x:v>남성</x:v>
      </x:c>
      <x:c r="E41" s="7" t="n">
        <x:v>9000</x:v>
      </x:c>
      <x:c r="F41" s="7" t="n">
        <x:v>1</x:v>
      </x:c>
      <x:c r="G41" s="2" t="str">
        <x:v>미혼</x:v>
      </x:c>
      <x:c r="H41" s="7" t="n">
        <x:v>0</x:v>
      </x:c>
      <x:c r="I41" s="2" t="str">
        <x:f>IF(H41&lt;3,H41&amp;"명","3명 이상")</x:f>
        <x:v>0명</x:v>
      </x:c>
      <x:c r="J41" s="2" t="str">
        <x:v>흡연</x:v>
      </x:c>
      <x:c r="K41" s="2" t="str">
        <x:v>없음</x:v>
      </x:c>
      <x:c r="L41" s="2" t="str">
        <x:v>없음</x:v>
      </x:c>
      <x:c r="M41" s="2" t="str">
        <x:v>수호천사 우리가족 종신보험</x:v>
      </x:c>
      <x:c r="N41" s="2" t="str">
        <x:f>VLOOKUP(M41,'분류기준'!$A$5:$B$8,2,FALSE)</x:f>
        <x:v>종신보험</x:v>
      </x:c>
      <x:c r="O41" s="2" t="str">
        <x:v>선택 안함</x:v>
      </x:c>
      <x:c r="P41" s="2" t="str">
        <x:f>IF(O41="선택 안함","선택 안함",IF(O41="특약 없음","특약 없음","가입"))</x:f>
        <x:v>선택 안함</x:v>
      </x:c>
      <x:c r="Q41" s="2" t="str">
        <x:f>IF(P41="가입","가입","미가입")</x:f>
        <x:v>미가입</x:v>
      </x:c>
    </x:row>
    <x:row r="42" ht="23" customHeight="1">
      <x:c r="A42" s="2" t="str">
        <x:v>C0290</x:v>
      </x:c>
      <x:c r="B42" s="7" t="n">
        <x:v>21</x:v>
      </x:c>
      <x:c r="C42" s="2" t="str">
        <x:f>INT(B42/10)*10&amp;"대"</x:f>
        <x:v>20대</x:v>
      </x:c>
      <x:c r="D42" s="2" t="str">
        <x:v>여성</x:v>
      </x:c>
      <x:c r="E42" s="7" t="n">
        <x:v>5000</x:v>
      </x:c>
      <x:c r="F42" s="7" t="n">
        <x:v>1</x:v>
      </x:c>
      <x:c r="G42" s="2" t="str">
        <x:v>미혼</x:v>
      </x:c>
      <x:c r="H42" s="7" t="n">
        <x:v>0</x:v>
      </x:c>
      <x:c r="I42" s="2" t="str">
        <x:f>IF(H42&lt;3,H42&amp;"명","3명 이상")</x:f>
        <x:v>0명</x:v>
      </x:c>
      <x:c r="J42" s="2" t="str">
        <x:v>흡연</x:v>
      </x:c>
      <x:c r="K42" s="2" t="str">
        <x:v>고혈압</x:v>
      </x:c>
      <x:c r="L42" s="2" t="str">
        <x:v>암</x:v>
      </x:c>
      <x:c r="M42" s="2" t="str">
        <x:v>수호천사 암/건강보험</x:v>
      </x:c>
      <x:c r="N42" s="2" t="str">
        <x:f>VLOOKUP(M42,'분류기준'!$A$5:$B$8,2,FALSE)</x:f>
        <x:v>암/건강보험</x:v>
      </x:c>
      <x:c r="O42" s="2" t="str">
        <x:v>표적항암약물허가치료 특약</x:v>
      </x:c>
      <x:c r="P42" s="2" t="str">
        <x:f>IF(O42="선택 안함","선택 안함",IF(O42="특약 없음","특약 없음","가입"))</x:f>
        <x:v>가입</x:v>
      </x:c>
      <x:c r="Q42" s="2" t="str">
        <x:f>IF(P42="가입","가입","미가입")</x:f>
        <x:v>가입</x:v>
      </x:c>
    </x:row>
    <x:row r="43" ht="23" customHeight="1">
      <x:c r="A43" s="2" t="str">
        <x:v>C0359</x:v>
      </x:c>
      <x:c r="B43" s="7" t="n">
        <x:v>21</x:v>
      </x:c>
      <x:c r="C43" s="2" t="str">
        <x:f>INT(B43/10)*10&amp;"대"</x:f>
        <x:v>20대</x:v>
      </x:c>
      <x:c r="D43" s="2" t="str">
        <x:v>여성</x:v>
      </x:c>
      <x:c r="E43" s="7" t="n">
        <x:v>3000</x:v>
      </x:c>
      <x:c r="F43" s="7" t="n">
        <x:v>1</x:v>
      </x:c>
      <x:c r="G43" s="2" t="str">
        <x:v>기혼</x:v>
      </x:c>
      <x:c r="H43" s="7" t="n">
        <x:v>0</x:v>
      </x:c>
      <x:c r="I43" s="2" t="str">
        <x:f>IF(H43&lt;3,H43&amp;"명","3명 이상")</x:f>
        <x:v>0명</x:v>
      </x:c>
      <x:c r="J43" s="2" t="str">
        <x:v>비흡연</x:v>
      </x:c>
      <x:c r="K43" s="2" t="str">
        <x:v>없음</x:v>
      </x:c>
      <x:c r="L43" s="2" t="str">
        <x:v>암</x:v>
      </x:c>
      <x:c r="M43" s="2" t="str">
        <x:v>수호천사 암/건강보험</x:v>
      </x:c>
      <x:c r="N43" s="2" t="str">
        <x:f>VLOOKUP(M43,'분류기준'!$A$5:$B$8,2,FALSE)</x:f>
        <x:v>암/건강보험</x:v>
      </x:c>
      <x:c r="O43" s="2" t="str">
        <x:v>표적항암약물허가치료 특약</x:v>
      </x:c>
      <x:c r="P43" s="2" t="str">
        <x:f>IF(O43="선택 안함","선택 안함",IF(O43="특약 없음","특약 없음","가입"))</x:f>
        <x:v>가입</x:v>
      </x:c>
      <x:c r="Q43" s="2" t="str">
        <x:f>IF(P43="가입","가입","미가입")</x:f>
        <x:v>가입</x:v>
      </x:c>
    </x:row>
    <x:row r="44" ht="23" customHeight="1">
      <x:c r="A44" s="2" t="str">
        <x:v>C0362</x:v>
      </x:c>
      <x:c r="B44" s="7" t="n">
        <x:v>21</x:v>
      </x:c>
      <x:c r="C44" s="2" t="str">
        <x:f>INT(B44/10)*10&amp;"대"</x:f>
        <x:v>20대</x:v>
      </x:c>
      <x:c r="D44" s="2" t="str">
        <x:v>여성</x:v>
      </x:c>
      <x:c r="E44" s="7" t="n">
        <x:v>4000</x:v>
      </x:c>
      <x:c r="F44" s="7" t="n">
        <x:v>1</x:v>
      </x:c>
      <x:c r="G44" s="2" t="str">
        <x:v>미혼</x:v>
      </x:c>
      <x:c r="H44" s="7" t="n">
        <x:v>0</x:v>
      </x:c>
      <x:c r="I44" s="2" t="str">
        <x:f>IF(H44&lt;3,H44&amp;"명","3명 이상")</x:f>
        <x:v>0명</x:v>
      </x:c>
      <x:c r="J44" s="2" t="str">
        <x:v>비흡연</x:v>
      </x:c>
      <x:c r="K44" s="2" t="str">
        <x:v>없음</x:v>
      </x:c>
      <x:c r="L44" s="2" t="str">
        <x:v>암</x:v>
      </x:c>
      <x:c r="M44" s="2" t="str">
        <x:v>수호천사 행복 연금보험</x:v>
      </x:c>
      <x:c r="N44" s="2" t="str">
        <x:f>VLOOKUP(M44,'분류기준'!$A$5:$B$8,2,FALSE)</x:f>
        <x:v>연금보험</x:v>
      </x:c>
      <x:c r="O44" s="2" t="str">
        <x:v>특약 없음</x:v>
      </x:c>
      <x:c r="P44" s="2" t="str">
        <x:f>IF(O44="선택 안함","선택 안함",IF(O44="특약 없음","특약 없음","가입"))</x:f>
        <x:v>특약 없음</x:v>
      </x:c>
      <x:c r="Q44" s="2" t="str">
        <x:f>IF(P44="가입","가입","미가입")</x:f>
        <x:v>미가입</x:v>
      </x:c>
    </x:row>
    <x:row r="45" ht="23" customHeight="1">
      <x:c r="A45" s="2" t="str">
        <x:v>C0391</x:v>
      </x:c>
      <x:c r="B45" s="7" t="n">
        <x:v>21</x:v>
      </x:c>
      <x:c r="C45" s="2" t="str">
        <x:f>INT(B45/10)*10&amp;"대"</x:f>
        <x:v>20대</x:v>
      </x:c>
      <x:c r="D45" s="2" t="str">
        <x:v>남성</x:v>
      </x:c>
      <x:c r="E45" s="7" t="n">
        <x:v>6000</x:v>
      </x:c>
      <x:c r="F45" s="7" t="n">
        <x:v>1</x:v>
      </x:c>
      <x:c r="G45" s="2" t="str">
        <x:v>미혼</x:v>
      </x:c>
      <x:c r="H45" s="7" t="n">
        <x:v>0</x:v>
      </x:c>
      <x:c r="I45" s="2" t="str">
        <x:f>IF(H45&lt;3,H45&amp;"명","3명 이상")</x:f>
        <x:v>0명</x:v>
      </x:c>
      <x:c r="J45" s="2" t="str">
        <x:v>비흡연</x:v>
      </x:c>
      <x:c r="K45" s="2" t="str">
        <x:v>없음</x:v>
      </x:c>
      <x:c r="L45" s="2" t="str">
        <x:v>없음</x:v>
      </x:c>
      <x:c r="M45" s="2" t="str">
        <x:v>수호천사 우리가족 종신보험</x:v>
      </x:c>
      <x:c r="N45" s="2" t="str">
        <x:f>VLOOKUP(M45,'분류기준'!$A$5:$B$8,2,FALSE)</x:f>
        <x:v>종신보험</x:v>
      </x:c>
      <x:c r="O45" s="2" t="str">
        <x:v>가족 수입 보장 특약</x:v>
      </x:c>
      <x:c r="P45" s="2" t="str">
        <x:f>IF(O45="선택 안함","선택 안함",IF(O45="특약 없음","특약 없음","가입"))</x:f>
        <x:v>가입</x:v>
      </x:c>
      <x:c r="Q45" s="2" t="str">
        <x:f>IF(P45="가입","가입","미가입")</x:f>
        <x:v>가입</x:v>
      </x:c>
    </x:row>
    <x:row r="46" ht="23" customHeight="1">
      <x:c r="A46" s="2" t="str">
        <x:v>C0482</x:v>
      </x:c>
      <x:c r="B46" s="7" t="n">
        <x:v>21</x:v>
      </x:c>
      <x:c r="C46" s="2" t="str">
        <x:f>INT(B46/10)*10&amp;"대"</x:f>
        <x:v>20대</x:v>
      </x:c>
      <x:c r="D46" s="2" t="str">
        <x:v>여성</x:v>
      </x:c>
      <x:c r="E46" s="7" t="n">
        <x:v>3000</x:v>
      </x:c>
      <x:c r="F46" s="7" t="n">
        <x:v>2</x:v>
      </x:c>
      <x:c r="G46" s="2" t="str">
        <x:v>미혼</x:v>
      </x:c>
      <x:c r="H46" s="7" t="n">
        <x:v>0</x:v>
      </x:c>
      <x:c r="I46" s="2" t="str">
        <x:f>IF(H46&lt;3,H46&amp;"명","3명 이상")</x:f>
        <x:v>0명</x:v>
      </x:c>
      <x:c r="J46" s="2" t="str">
        <x:v>흡연</x:v>
      </x:c>
      <x:c r="K46" s="2" t="str">
        <x:v>당뇨</x:v>
      </x:c>
      <x:c r="L46" s="2" t="str">
        <x:v>없음</x:v>
      </x:c>
      <x:c r="M46" s="2" t="str">
        <x:v>수호천사 간편심사(유병자)보험</x:v>
      </x:c>
      <x:c r="N46" s="2" t="str">
        <x:f>VLOOKUP(M46,'분류기준'!$A$5:$B$8,2,FALSE)</x:f>
        <x:v>간편심사보험</x:v>
      </x:c>
      <x:c r="O46" s="2" t="str">
        <x:v>중증질환 산정특례 보장 특약</x:v>
      </x:c>
      <x:c r="P46" s="2" t="str">
        <x:f>IF(O46="선택 안함","선택 안함",IF(O46="특약 없음","특약 없음","가입"))</x:f>
        <x:v>가입</x:v>
      </x:c>
      <x:c r="Q46" s="2" t="str">
        <x:f>IF(P46="가입","가입","미가입")</x:f>
        <x:v>가입</x:v>
      </x:c>
    </x:row>
    <x:row r="47" ht="23" customHeight="1">
      <x:c r="A47" s="2" t="str">
        <x:v>C0507</x:v>
      </x:c>
      <x:c r="B47" s="7" t="n">
        <x:v>21</x:v>
      </x:c>
      <x:c r="C47" s="2" t="str">
        <x:f>INT(B47/10)*10&amp;"대"</x:f>
        <x:v>20대</x:v>
      </x:c>
      <x:c r="D47" s="2" t="str">
        <x:v>남성</x:v>
      </x:c>
      <x:c r="E47" s="7" t="n">
        <x:v>6000</x:v>
      </x:c>
      <x:c r="F47" s="7" t="n">
        <x:v>1</x:v>
      </x:c>
      <x:c r="G47" s="2" t="str">
        <x:v>미혼</x:v>
      </x:c>
      <x:c r="H47" s="7" t="n">
        <x:v>0</x:v>
      </x:c>
      <x:c r="I47" s="2" t="str">
        <x:f>IF(H47&lt;3,H47&amp;"명","3명 이상")</x:f>
        <x:v>0명</x:v>
      </x:c>
      <x:c r="J47" s="2" t="str">
        <x:v>비흡연</x:v>
      </x:c>
      <x:c r="K47" s="2" t="str">
        <x:v>없음</x:v>
      </x:c>
      <x:c r="L47" s="2" t="str">
        <x:v>암</x:v>
      </x:c>
      <x:c r="M47" s="2" t="str">
        <x:v>수호천사 우리가족 종신보험</x:v>
      </x:c>
      <x:c r="N47" s="2" t="str">
        <x:f>VLOOKUP(M47,'분류기준'!$A$5:$B$8,2,FALSE)</x:f>
        <x:v>종신보험</x:v>
      </x:c>
      <x:c r="O47" s="2" t="str">
        <x:v>가족 수입 보장 특약</x:v>
      </x:c>
      <x:c r="P47" s="2" t="str">
        <x:f>IF(O47="선택 안함","선택 안함",IF(O47="특약 없음","특약 없음","가입"))</x:f>
        <x:v>가입</x:v>
      </x:c>
      <x:c r="Q47" s="2" t="str">
        <x:f>IF(P47="가입","가입","미가입")</x:f>
        <x:v>가입</x:v>
      </x:c>
    </x:row>
    <x:row r="48" ht="23" customHeight="1">
      <x:c r="A48" s="2" t="str">
        <x:v>C0601</x:v>
      </x:c>
      <x:c r="B48" s="7" t="n">
        <x:v>21</x:v>
      </x:c>
      <x:c r="C48" s="2" t="str">
        <x:f>INT(B48/10)*10&amp;"대"</x:f>
        <x:v>20대</x:v>
      </x:c>
      <x:c r="D48" s="2" t="str">
        <x:v>남성</x:v>
      </x:c>
      <x:c r="E48" s="7" t="n">
        <x:v>4000</x:v>
      </x:c>
      <x:c r="F48" s="7" t="n">
        <x:v>1</x:v>
      </x:c>
      <x:c r="G48" s="2" t="str">
        <x:v>미혼</x:v>
      </x:c>
      <x:c r="H48" s="7" t="n">
        <x:v>0</x:v>
      </x:c>
      <x:c r="I48" s="2" t="str">
        <x:f>IF(H48&lt;3,H48&amp;"명","3명 이상")</x:f>
        <x:v>0명</x:v>
      </x:c>
      <x:c r="J48" s="2" t="str">
        <x:v>비흡연</x:v>
      </x:c>
      <x:c r="K48" s="2" t="str">
        <x:v>없음</x:v>
      </x:c>
      <x:c r="L48" s="2" t="str">
        <x:v>없음</x:v>
      </x:c>
      <x:c r="M48" s="2" t="str">
        <x:v>수호천사 암/건강보험</x:v>
      </x:c>
      <x:c r="N48" s="2" t="str">
        <x:f>VLOOKUP(M48,'분류기준'!$A$5:$B$8,2,FALSE)</x:f>
        <x:v>암/건강보험</x:v>
      </x:c>
      <x:c r="O48" s="2" t="str">
        <x:v>수술비 보장 특약</x:v>
      </x:c>
      <x:c r="P48" s="2" t="str">
        <x:f>IF(O48="선택 안함","선택 안함",IF(O48="특약 없음","특약 없음","가입"))</x:f>
        <x:v>가입</x:v>
      </x:c>
      <x:c r="Q48" s="2" t="str">
        <x:f>IF(P48="가입","가입","미가입")</x:f>
        <x:v>가입</x:v>
      </x:c>
    </x:row>
    <x:row r="49" ht="23" customHeight="1">
      <x:c r="A49" s="2" t="str">
        <x:v>C0701</x:v>
      </x:c>
      <x:c r="B49" s="7" t="n">
        <x:v>21</x:v>
      </x:c>
      <x:c r="C49" s="2" t="str">
        <x:f>INT(B49/10)*10&amp;"대"</x:f>
        <x:v>20대</x:v>
      </x:c>
      <x:c r="D49" s="2" t="str">
        <x:v>남성</x:v>
      </x:c>
      <x:c r="E49" s="7" t="n">
        <x:v>5000</x:v>
      </x:c>
      <x:c r="F49" s="7" t="n">
        <x:v>1</x:v>
      </x:c>
      <x:c r="G49" s="2" t="str">
        <x:v>미혼</x:v>
      </x:c>
      <x:c r="H49" s="7" t="n">
        <x:v>0</x:v>
      </x:c>
      <x:c r="I49" s="2" t="str">
        <x:f>IF(H49&lt;3,H49&amp;"명","3명 이상")</x:f>
        <x:v>0명</x:v>
      </x:c>
      <x:c r="J49" s="2" t="str">
        <x:v>비흡연</x:v>
      </x:c>
      <x:c r="K49" s="2" t="str">
        <x:v>없음</x:v>
      </x:c>
      <x:c r="L49" s="2" t="str">
        <x:v>없음</x:v>
      </x:c>
      <x:c r="M49" s="2" t="str">
        <x:v>수호천사 행복 연금보험</x:v>
      </x:c>
      <x:c r="N49" s="2" t="str">
        <x:f>VLOOKUP(M49,'분류기준'!$A$5:$B$8,2,FALSE)</x:f>
        <x:v>연금보험</x:v>
      </x:c>
      <x:c r="O49" s="2" t="str">
        <x:v>특약 없음</x:v>
      </x:c>
      <x:c r="P49" s="2" t="str">
        <x:f>IF(O49="선택 안함","선택 안함",IF(O49="특약 없음","특약 없음","가입"))</x:f>
        <x:v>특약 없음</x:v>
      </x:c>
      <x:c r="Q49" s="2" t="str">
        <x:f>IF(P49="가입","가입","미가입")</x:f>
        <x:v>미가입</x:v>
      </x:c>
    </x:row>
    <x:row r="50" ht="23" customHeight="1">
      <x:c r="A50" s="2" t="str">
        <x:v>C0769</x:v>
      </x:c>
      <x:c r="B50" s="7" t="n">
        <x:v>21</x:v>
      </x:c>
      <x:c r="C50" s="2" t="str">
        <x:f>INT(B50/10)*10&amp;"대"</x:f>
        <x:v>20대</x:v>
      </x:c>
      <x:c r="D50" s="2" t="str">
        <x:v>남성</x:v>
      </x:c>
      <x:c r="E50" s="7" t="n">
        <x:v>5000</x:v>
      </x:c>
      <x:c r="F50" s="7" t="n">
        <x:v>1</x:v>
      </x:c>
      <x:c r="G50" s="2" t="str">
        <x:v>미혼</x:v>
      </x:c>
      <x:c r="H50" s="7" t="n">
        <x:v>0</x:v>
      </x:c>
      <x:c r="I50" s="2" t="str">
        <x:f>IF(H50&lt;3,H50&amp;"명","3명 이상")</x:f>
        <x:v>0명</x:v>
      </x:c>
      <x:c r="J50" s="2" t="str">
        <x:v>비흡연</x:v>
      </x:c>
      <x:c r="K50" s="2" t="str">
        <x:v>없음</x:v>
      </x:c>
      <x:c r="L50" s="2" t="str">
        <x:v>없음</x:v>
      </x:c>
      <x:c r="M50" s="2" t="str">
        <x:v>수호천사 행복 연금보험</x:v>
      </x:c>
      <x:c r="N50" s="2" t="str">
        <x:f>VLOOKUP(M50,'분류기준'!$A$5:$B$8,2,FALSE)</x:f>
        <x:v>연금보험</x:v>
      </x:c>
      <x:c r="O50" s="2" t="str">
        <x:v>특약 없음</x:v>
      </x:c>
      <x:c r="P50" s="2" t="str">
        <x:f>IF(O50="선택 안함","선택 안함",IF(O50="특약 없음","특약 없음","가입"))</x:f>
        <x:v>특약 없음</x:v>
      </x:c>
      <x:c r="Q50" s="2" t="str">
        <x:f>IF(P50="가입","가입","미가입")</x:f>
        <x:v>미가입</x:v>
      </x:c>
    </x:row>
    <x:row r="51" ht="23" customHeight="1">
      <x:c r="A51" s="2" t="str">
        <x:v>C0800</x:v>
      </x:c>
      <x:c r="B51" s="7" t="n">
        <x:v>21</x:v>
      </x:c>
      <x:c r="C51" s="2" t="str">
        <x:f>INT(B51/10)*10&amp;"대"</x:f>
        <x:v>20대</x:v>
      </x:c>
      <x:c r="D51" s="2" t="str">
        <x:v>남성</x:v>
      </x:c>
      <x:c r="E51" s="7" t="n">
        <x:v>5000</x:v>
      </x:c>
      <x:c r="F51" s="7" t="n">
        <x:v>3</x:v>
      </x:c>
      <x:c r="G51" s="2" t="str">
        <x:v>미혼</x:v>
      </x:c>
      <x:c r="H51" s="7" t="n">
        <x:v>0</x:v>
      </x:c>
      <x:c r="I51" s="2" t="str">
        <x:f>IF(H51&lt;3,H51&amp;"명","3명 이상")</x:f>
        <x:v>0명</x:v>
      </x:c>
      <x:c r="J51" s="2" t="str">
        <x:v>비흡연</x:v>
      </x:c>
      <x:c r="K51" s="2" t="str">
        <x:v>없음</x:v>
      </x:c>
      <x:c r="L51" s="2" t="str">
        <x:v>없음</x:v>
      </x:c>
      <x:c r="M51" s="2" t="str">
        <x:v>수호천사 행복 연금보험</x:v>
      </x:c>
      <x:c r="N51" s="2" t="str">
        <x:f>VLOOKUP(M51,'분류기준'!$A$5:$B$8,2,FALSE)</x:f>
        <x:v>연금보험</x:v>
      </x:c>
      <x:c r="O51" s="2" t="str">
        <x:v>특약 없음</x:v>
      </x:c>
      <x:c r="P51" s="2" t="str">
        <x:f>IF(O51="선택 안함","선택 안함",IF(O51="특약 없음","특약 없음","가입"))</x:f>
        <x:v>특약 없음</x:v>
      </x:c>
      <x:c r="Q51" s="2" t="str">
        <x:f>IF(P51="가입","가입","미가입")</x:f>
        <x:v>미가입</x:v>
      </x:c>
    </x:row>
    <x:row r="52" ht="23" customHeight="1">
      <x:c r="A52" s="2" t="str">
        <x:v>C0860</x:v>
      </x:c>
      <x:c r="B52" s="7" t="n">
        <x:v>21</x:v>
      </x:c>
      <x:c r="C52" s="2" t="str">
        <x:f>INT(B52/10)*10&amp;"대"</x:f>
        <x:v>20대</x:v>
      </x:c>
      <x:c r="D52" s="2" t="str">
        <x:v>남성</x:v>
      </x:c>
      <x:c r="E52" s="7" t="n">
        <x:v>7500</x:v>
      </x:c>
      <x:c r="F52" s="7" t="n">
        <x:v>1</x:v>
      </x:c>
      <x:c r="G52" s="2" t="str">
        <x:v>미혼</x:v>
      </x:c>
      <x:c r="H52" s="7" t="n">
        <x:v>0</x:v>
      </x:c>
      <x:c r="I52" s="2" t="str">
        <x:f>IF(H52&lt;3,H52&amp;"명","3명 이상")</x:f>
        <x:v>0명</x:v>
      </x:c>
      <x:c r="J52" s="2" t="str">
        <x:v>비흡연</x:v>
      </x:c>
      <x:c r="K52" s="2" t="str">
        <x:v>없음</x:v>
      </x:c>
      <x:c r="L52" s="2" t="str">
        <x:v>없음</x:v>
      </x:c>
      <x:c r="M52" s="2" t="str">
        <x:v>수호천사 우리가족 종신보험</x:v>
      </x:c>
      <x:c r="N52" s="2" t="str">
        <x:f>VLOOKUP(M52,'분류기준'!$A$5:$B$8,2,FALSE)</x:f>
        <x:v>종신보험</x:v>
      </x:c>
      <x:c r="O52" s="2" t="str">
        <x:v>선택 안함</x:v>
      </x:c>
      <x:c r="P52" s="2" t="str">
        <x:f>IF(O52="선택 안함","선택 안함",IF(O52="특약 없음","특약 없음","가입"))</x:f>
        <x:v>선택 안함</x:v>
      </x:c>
      <x:c r="Q52" s="2" t="str">
        <x:f>IF(P52="가입","가입","미가입")</x:f>
        <x:v>미가입</x:v>
      </x:c>
    </x:row>
    <x:row r="53" ht="23" customHeight="1">
      <x:c r="A53" s="2" t="str">
        <x:v>C0931</x:v>
      </x:c>
      <x:c r="B53" s="7" t="n">
        <x:v>21</x:v>
      </x:c>
      <x:c r="C53" s="2" t="str">
        <x:f>INT(B53/10)*10&amp;"대"</x:f>
        <x:v>20대</x:v>
      </x:c>
      <x:c r="D53" s="2" t="str">
        <x:v>남성</x:v>
      </x:c>
      <x:c r="E53" s="7" t="n">
        <x:v>7500</x:v>
      </x:c>
      <x:c r="F53" s="7" t="n">
        <x:v>1</x:v>
      </x:c>
      <x:c r="G53" s="2" t="str">
        <x:v>미혼</x:v>
      </x:c>
      <x:c r="H53" s="7" t="n">
        <x:v>0</x:v>
      </x:c>
      <x:c r="I53" s="2" t="str">
        <x:f>IF(H53&lt;3,H53&amp;"명","3명 이상")</x:f>
        <x:v>0명</x:v>
      </x:c>
      <x:c r="J53" s="2" t="str">
        <x:v>비흡연</x:v>
      </x:c>
      <x:c r="K53" s="2" t="str">
        <x:v>없음</x:v>
      </x:c>
      <x:c r="L53" s="2" t="str">
        <x:v>암</x:v>
      </x:c>
      <x:c r="M53" s="2" t="str">
        <x:v>수호천사 암/건강보험</x:v>
      </x:c>
      <x:c r="N53" s="2" t="str">
        <x:f>VLOOKUP(M53,'분류기준'!$A$5:$B$8,2,FALSE)</x:f>
        <x:v>암/건강보험</x:v>
      </x:c>
      <x:c r="O53" s="2" t="str">
        <x:v>표적항암약물허가치료 특약</x:v>
      </x:c>
      <x:c r="P53" s="2" t="str">
        <x:f>IF(O53="선택 안함","선택 안함",IF(O53="특약 없음","특약 없음","가입"))</x:f>
        <x:v>가입</x:v>
      </x:c>
      <x:c r="Q53" s="2" t="str">
        <x:f>IF(P53="가입","가입","미가입")</x:f>
        <x:v>가입</x:v>
      </x:c>
    </x:row>
    <x:row r="54" ht="23" customHeight="1">
      <x:c r="A54" s="2" t="str">
        <x:v>C0940</x:v>
      </x:c>
      <x:c r="B54" s="7" t="n">
        <x:v>21</x:v>
      </x:c>
      <x:c r="C54" s="2" t="str">
        <x:f>INT(B54/10)*10&amp;"대"</x:f>
        <x:v>20대</x:v>
      </x:c>
      <x:c r="D54" s="2" t="str">
        <x:v>여성</x:v>
      </x:c>
      <x:c r="E54" s="7" t="n">
        <x:v>6000</x:v>
      </x:c>
      <x:c r="F54" s="7" t="n">
        <x:v>1</x:v>
      </x:c>
      <x:c r="G54" s="2" t="str">
        <x:v>미혼</x:v>
      </x:c>
      <x:c r="H54" s="7" t="n">
        <x:v>0</x:v>
      </x:c>
      <x:c r="I54" s="2" t="str">
        <x:f>IF(H54&lt;3,H54&amp;"명","3명 이상")</x:f>
        <x:v>0명</x:v>
      </x:c>
      <x:c r="J54" s="2" t="str">
        <x:v>비흡연</x:v>
      </x:c>
      <x:c r="K54" s="2" t="str">
        <x:v>없음</x:v>
      </x:c>
      <x:c r="L54" s="2" t="str">
        <x:v>암</x:v>
      </x:c>
      <x:c r="M54" s="2" t="str">
        <x:v>수호천사 암/건강보험</x:v>
      </x:c>
      <x:c r="N54" s="2" t="str">
        <x:f>VLOOKUP(M54,'분류기준'!$A$5:$B$8,2,FALSE)</x:f>
        <x:v>암/건강보험</x:v>
      </x:c>
      <x:c r="O54" s="2" t="str">
        <x:v>표적항암약물허가치료 특약</x:v>
      </x:c>
      <x:c r="P54" s="2" t="str">
        <x:f>IF(O54="선택 안함","선택 안함",IF(O54="특약 없음","특약 없음","가입"))</x:f>
        <x:v>가입</x:v>
      </x:c>
      <x:c r="Q54" s="2" t="str">
        <x:f>IF(P54="가입","가입","미가입")</x:f>
        <x:v>가입</x:v>
      </x:c>
    </x:row>
    <x:row r="55" ht="23" customHeight="1">
      <x:c r="A55" s="2" t="str">
        <x:v>C0973</x:v>
      </x:c>
      <x:c r="B55" s="7" t="n">
        <x:v>21</x:v>
      </x:c>
      <x:c r="C55" s="2" t="str">
        <x:f>INT(B55/10)*10&amp;"대"</x:f>
        <x:v>20대</x:v>
      </x:c>
      <x:c r="D55" s="2" t="str">
        <x:v>남성</x:v>
      </x:c>
      <x:c r="E55" s="7" t="n">
        <x:v>4000</x:v>
      </x:c>
      <x:c r="F55" s="7" t="n">
        <x:v>1</x:v>
      </x:c>
      <x:c r="G55" s="2" t="str">
        <x:v>기혼</x:v>
      </x:c>
      <x:c r="H55" s="7" t="n">
        <x:v>0</x:v>
      </x:c>
      <x:c r="I55" s="2" t="str">
        <x:f>IF(H55&lt;3,H55&amp;"명","3명 이상")</x:f>
        <x:v>0명</x:v>
      </x:c>
      <x:c r="J55" s="2" t="str">
        <x:v>비흡연</x:v>
      </x:c>
      <x:c r="K55" s="2" t="str">
        <x:v>없음</x:v>
      </x:c>
      <x:c r="L55" s="2" t="str">
        <x:v>암</x:v>
      </x:c>
      <x:c r="M55" s="2" t="str">
        <x:v>수호천사 암/건강보험</x:v>
      </x:c>
      <x:c r="N55" s="2" t="str">
        <x:f>VLOOKUP(M55,'분류기준'!$A$5:$B$8,2,FALSE)</x:f>
        <x:v>암/건강보험</x:v>
      </x:c>
      <x:c r="O55" s="2" t="str">
        <x:v>수술비 보장 특약</x:v>
      </x:c>
      <x:c r="P55" s="2" t="str">
        <x:f>IF(O55="선택 안함","선택 안함",IF(O55="특약 없음","특약 없음","가입"))</x:f>
        <x:v>가입</x:v>
      </x:c>
      <x:c r="Q55" s="2" t="str">
        <x:f>IF(P55="가입","가입","미가입")</x:f>
        <x:v>가입</x:v>
      </x:c>
    </x:row>
    <x:row r="56" ht="23" customHeight="1">
      <x:c r="A56" s="2" t="str">
        <x:v>C0976</x:v>
      </x:c>
      <x:c r="B56" s="7" t="n">
        <x:v>21</x:v>
      </x:c>
      <x:c r="C56" s="2" t="str">
        <x:f>INT(B56/10)*10&amp;"대"</x:f>
        <x:v>20대</x:v>
      </x:c>
      <x:c r="D56" s="2" t="str">
        <x:v>남성</x:v>
      </x:c>
      <x:c r="E56" s="7" t="n">
        <x:v>4000</x:v>
      </x:c>
      <x:c r="F56" s="7" t="n">
        <x:v>1</x:v>
      </x:c>
      <x:c r="G56" s="2" t="str">
        <x:v>미혼</x:v>
      </x:c>
      <x:c r="H56" s="7" t="n">
        <x:v>0</x:v>
      </x:c>
      <x:c r="I56" s="2" t="str">
        <x:f>IF(H56&lt;3,H56&amp;"명","3명 이상")</x:f>
        <x:v>0명</x:v>
      </x:c>
      <x:c r="J56" s="2" t="str">
        <x:v>흡연</x:v>
      </x:c>
      <x:c r="K56" s="2" t="str">
        <x:v>없음</x:v>
      </x:c>
      <x:c r="L56" s="2" t="str">
        <x:v>암</x:v>
      </x:c>
      <x:c r="M56" s="2" t="str">
        <x:v>수호천사 암/건강보험</x:v>
      </x:c>
      <x:c r="N56" s="2" t="str">
        <x:f>VLOOKUP(M56,'분류기준'!$A$5:$B$8,2,FALSE)</x:f>
        <x:v>암/건강보험</x:v>
      </x:c>
      <x:c r="O56" s="2" t="str">
        <x:v>표적항암약물허가치료 특약</x:v>
      </x:c>
      <x:c r="P56" s="2" t="str">
        <x:f>IF(O56="선택 안함","선택 안함",IF(O56="특약 없음","특약 없음","가입"))</x:f>
        <x:v>가입</x:v>
      </x:c>
      <x:c r="Q56" s="2" t="str">
        <x:f>IF(P56="가입","가입","미가입")</x:f>
        <x:v>가입</x:v>
      </x:c>
    </x:row>
    <x:row r="57" ht="23" customHeight="1">
      <x:c r="A57" s="2" t="str">
        <x:v>C0016</x:v>
      </x:c>
      <x:c r="B57" s="7" t="n">
        <x:v>22</x:v>
      </x:c>
      <x:c r="C57" s="2" t="str">
        <x:f>INT(B57/10)*10&amp;"대"</x:f>
        <x:v>20대</x:v>
      </x:c>
      <x:c r="D57" s="2" t="str">
        <x:v>여성</x:v>
      </x:c>
      <x:c r="E57" s="7" t="n">
        <x:v>5000</x:v>
      </x:c>
      <x:c r="F57" s="7" t="n">
        <x:v>1</x:v>
      </x:c>
      <x:c r="G57" s="2" t="str">
        <x:v>미혼</x:v>
      </x:c>
      <x:c r="H57" s="7" t="n">
        <x:v>0</x:v>
      </x:c>
      <x:c r="I57" s="2" t="str">
        <x:f>IF(H57&lt;3,H57&amp;"명","3명 이상")</x:f>
        <x:v>0명</x:v>
      </x:c>
      <x:c r="J57" s="2" t="str">
        <x:v>비흡연</x:v>
      </x:c>
      <x:c r="K57" s="2" t="str">
        <x:v>없음</x:v>
      </x:c>
      <x:c r="L57" s="2" t="str">
        <x:v>암</x:v>
      </x:c>
      <x:c r="M57" s="2" t="str">
        <x:v>수호천사 행복 연금보험</x:v>
      </x:c>
      <x:c r="N57" s="2" t="str">
        <x:f>VLOOKUP(M57,'분류기준'!$A$5:$B$8,2,FALSE)</x:f>
        <x:v>연금보험</x:v>
      </x:c>
      <x:c r="O57" s="2" t="str">
        <x:v>특약 없음</x:v>
      </x:c>
      <x:c r="P57" s="2" t="str">
        <x:f>IF(O57="선택 안함","선택 안함",IF(O57="특약 없음","특약 없음","가입"))</x:f>
        <x:v>특약 없음</x:v>
      </x:c>
      <x:c r="Q57" s="2" t="str">
        <x:f>IF(P57="가입","가입","미가입")</x:f>
        <x:v>미가입</x:v>
      </x:c>
    </x:row>
    <x:row r="58" ht="23" customHeight="1">
      <x:c r="A58" s="2" t="str">
        <x:v>C0036</x:v>
      </x:c>
      <x:c r="B58" s="7" t="n">
        <x:v>22</x:v>
      </x:c>
      <x:c r="C58" s="2" t="str">
        <x:f>INT(B58/10)*10&amp;"대"</x:f>
        <x:v>20대</x:v>
      </x:c>
      <x:c r="D58" s="2" t="str">
        <x:v>여성</x:v>
      </x:c>
      <x:c r="E58" s="7" t="n">
        <x:v>4000</x:v>
      </x:c>
      <x:c r="F58" s="7" t="n">
        <x:v>1</x:v>
      </x:c>
      <x:c r="G58" s="2" t="str">
        <x:v>미혼</x:v>
      </x:c>
      <x:c r="H58" s="7" t="n">
        <x:v>0</x:v>
      </x:c>
      <x:c r="I58" s="2" t="str">
        <x:f>IF(H58&lt;3,H58&amp;"명","3명 이상")</x:f>
        <x:v>0명</x:v>
      </x:c>
      <x:c r="J58" s="2" t="str">
        <x:v>흡연</x:v>
      </x:c>
      <x:c r="K58" s="2" t="str">
        <x:v>없음</x:v>
      </x:c>
      <x:c r="L58" s="2" t="str">
        <x:v>없음</x:v>
      </x:c>
      <x:c r="M58" s="2" t="str">
        <x:v>수호천사 간편심사(유병자)보험</x:v>
      </x:c>
      <x:c r="N58" s="2" t="str">
        <x:f>VLOOKUP(M58,'분류기준'!$A$5:$B$8,2,FALSE)</x:f>
        <x:v>간편심사보험</x:v>
      </x:c>
      <x:c r="O58" s="2" t="str">
        <x:v>중증질환 산정특례 보장 특약</x:v>
      </x:c>
      <x:c r="P58" s="2" t="str">
        <x:f>IF(O58="선택 안함","선택 안함",IF(O58="특약 없음","특약 없음","가입"))</x:f>
        <x:v>가입</x:v>
      </x:c>
      <x:c r="Q58" s="2" t="str">
        <x:f>IF(P58="가입","가입","미가입")</x:f>
        <x:v>가입</x:v>
      </x:c>
    </x:row>
    <x:row r="59" ht="23" customHeight="1">
      <x:c r="A59" s="2" t="str">
        <x:v>C0129</x:v>
      </x:c>
      <x:c r="B59" s="7" t="n">
        <x:v>22</x:v>
      </x:c>
      <x:c r="C59" s="2" t="str">
        <x:f>INT(B59/10)*10&amp;"대"</x:f>
        <x:v>20대</x:v>
      </x:c>
      <x:c r="D59" s="2" t="str">
        <x:v>남성</x:v>
      </x:c>
      <x:c r="E59" s="7" t="n">
        <x:v>4000</x:v>
      </x:c>
      <x:c r="F59" s="7" t="n">
        <x:v>3</x:v>
      </x:c>
      <x:c r="G59" s="2" t="str">
        <x:v>미혼</x:v>
      </x:c>
      <x:c r="H59" s="7" t="n">
        <x:v>0</x:v>
      </x:c>
      <x:c r="I59" s="2" t="str">
        <x:f>IF(H59&lt;3,H59&amp;"명","3명 이상")</x:f>
        <x:v>0명</x:v>
      </x:c>
      <x:c r="J59" s="2" t="str">
        <x:v>비흡연</x:v>
      </x:c>
      <x:c r="K59" s="2" t="str">
        <x:v>없음</x:v>
      </x:c>
      <x:c r="L59" s="2" t="str">
        <x:v>심혈관</x:v>
      </x:c>
      <x:c r="M59" s="2" t="str">
        <x:v>수호천사 암/건강보험</x:v>
      </x:c>
      <x:c r="N59" s="2" t="str">
        <x:f>VLOOKUP(M59,'분류기준'!$A$5:$B$8,2,FALSE)</x:f>
        <x:v>암/건강보험</x:v>
      </x:c>
      <x:c r="O59" s="2" t="str">
        <x:v>수술비 보장 특약</x:v>
      </x:c>
      <x:c r="P59" s="2" t="str">
        <x:f>IF(O59="선택 안함","선택 안함",IF(O59="특약 없음","특약 없음","가입"))</x:f>
        <x:v>가입</x:v>
      </x:c>
      <x:c r="Q59" s="2" t="str">
        <x:f>IF(P59="가입","가입","미가입")</x:f>
        <x:v>가입</x:v>
      </x:c>
    </x:row>
    <x:row r="60" ht="23" customHeight="1">
      <x:c r="A60" s="2" t="str">
        <x:v>C0179</x:v>
      </x:c>
      <x:c r="B60" s="7" t="n">
        <x:v>22</x:v>
      </x:c>
      <x:c r="C60" s="2" t="str">
        <x:f>INT(B60/10)*10&amp;"대"</x:f>
        <x:v>20대</x:v>
      </x:c>
      <x:c r="D60" s="2" t="str">
        <x:v>남성</x:v>
      </x:c>
      <x:c r="E60" s="7" t="n">
        <x:v>7500</x:v>
      </x:c>
      <x:c r="F60" s="7" t="n">
        <x:v>1</x:v>
      </x:c>
      <x:c r="G60" s="2" t="str">
        <x:v>미혼</x:v>
      </x:c>
      <x:c r="H60" s="7" t="n">
        <x:v>0</x:v>
      </x:c>
      <x:c r="I60" s="2" t="str">
        <x:f>IF(H60&lt;3,H60&amp;"명","3명 이상")</x:f>
        <x:v>0명</x:v>
      </x:c>
      <x:c r="J60" s="2" t="str">
        <x:v>비흡연</x:v>
      </x:c>
      <x:c r="K60" s="2" t="str">
        <x:v>없음</x:v>
      </x:c>
      <x:c r="L60" s="2" t="str">
        <x:v>없음</x:v>
      </x:c>
      <x:c r="M60" s="2" t="str">
        <x:v>수호천사 행복 연금보험</x:v>
      </x:c>
      <x:c r="N60" s="2" t="str">
        <x:f>VLOOKUP(M60,'분류기준'!$A$5:$B$8,2,FALSE)</x:f>
        <x:v>연금보험</x:v>
      </x:c>
      <x:c r="O60" s="2" t="str">
        <x:v>특약 없음</x:v>
      </x:c>
      <x:c r="P60" s="2" t="str">
        <x:f>IF(O60="선택 안함","선택 안함",IF(O60="특약 없음","특약 없음","가입"))</x:f>
        <x:v>특약 없음</x:v>
      </x:c>
      <x:c r="Q60" s="2" t="str">
        <x:f>IF(P60="가입","가입","미가입")</x:f>
        <x:v>미가입</x:v>
      </x:c>
    </x:row>
    <x:row r="61" ht="23" customHeight="1">
      <x:c r="A61" s="2" t="str">
        <x:v>C0198</x:v>
      </x:c>
      <x:c r="B61" s="7" t="n">
        <x:v>22</x:v>
      </x:c>
      <x:c r="C61" s="2" t="str">
        <x:f>INT(B61/10)*10&amp;"대"</x:f>
        <x:v>20대</x:v>
      </x:c>
      <x:c r="D61" s="2" t="str">
        <x:v>여성</x:v>
      </x:c>
      <x:c r="E61" s="7" t="n">
        <x:v>3000</x:v>
      </x:c>
      <x:c r="F61" s="7" t="n">
        <x:v>2</x:v>
      </x:c>
      <x:c r="G61" s="2" t="str">
        <x:v>미혼</x:v>
      </x:c>
      <x:c r="H61" s="7" t="n">
        <x:v>0</x:v>
      </x:c>
      <x:c r="I61" s="2" t="str">
        <x:f>IF(H61&lt;3,H61&amp;"명","3명 이상")</x:f>
        <x:v>0명</x:v>
      </x:c>
      <x:c r="J61" s="2" t="str">
        <x:v>비흡연</x:v>
      </x:c>
      <x:c r="K61" s="2" t="str">
        <x:v>없음</x:v>
      </x:c>
      <x:c r="L61" s="2" t="str">
        <x:v>없음</x:v>
      </x:c>
      <x:c r="M61" s="2" t="str">
        <x:v>수호천사 암/건강보험</x:v>
      </x:c>
      <x:c r="N61" s="2" t="str">
        <x:f>VLOOKUP(M61,'분류기준'!$A$5:$B$8,2,FALSE)</x:f>
        <x:v>암/건강보험</x:v>
      </x:c>
      <x:c r="O61" s="2" t="str">
        <x:v>표적항암약물허가치료 특약</x:v>
      </x:c>
      <x:c r="P61" s="2" t="str">
        <x:f>IF(O61="선택 안함","선택 안함",IF(O61="특약 없음","특약 없음","가입"))</x:f>
        <x:v>가입</x:v>
      </x:c>
      <x:c r="Q61" s="2" t="str">
        <x:f>IF(P61="가입","가입","미가입")</x:f>
        <x:v>가입</x:v>
      </x:c>
    </x:row>
    <x:row r="62" ht="23" customHeight="1">
      <x:c r="A62" s="2" t="str">
        <x:v>C0232</x:v>
      </x:c>
      <x:c r="B62" s="7" t="n">
        <x:v>22</x:v>
      </x:c>
      <x:c r="C62" s="2" t="str">
        <x:f>INT(B62/10)*10&amp;"대"</x:f>
        <x:v>20대</x:v>
      </x:c>
      <x:c r="D62" s="2" t="str">
        <x:v>남성</x:v>
      </x:c>
      <x:c r="E62" s="7" t="n">
        <x:v>6000</x:v>
      </x:c>
      <x:c r="F62" s="7" t="n">
        <x:v>1</x:v>
      </x:c>
      <x:c r="G62" s="2" t="str">
        <x:v>미혼</x:v>
      </x:c>
      <x:c r="H62" s="7" t="n">
        <x:v>0</x:v>
      </x:c>
      <x:c r="I62" s="2" t="str">
        <x:f>IF(H62&lt;3,H62&amp;"명","3명 이상")</x:f>
        <x:v>0명</x:v>
      </x:c>
      <x:c r="J62" s="2" t="str">
        <x:v>비흡연</x:v>
      </x:c>
      <x:c r="K62" s="2" t="str">
        <x:v>고혈압</x:v>
      </x:c>
      <x:c r="L62" s="2" t="str">
        <x:v>없음</x:v>
      </x:c>
      <x:c r="M62" s="2" t="str">
        <x:v>수호천사 우리가족 종신보험</x:v>
      </x:c>
      <x:c r="N62" s="2" t="str">
        <x:f>VLOOKUP(M62,'분류기준'!$A$5:$B$8,2,FALSE)</x:f>
        <x:v>종신보험</x:v>
      </x:c>
      <x:c r="O62" s="2" t="str">
        <x:v>선택 안함</x:v>
      </x:c>
      <x:c r="P62" s="2" t="str">
        <x:f>IF(O62="선택 안함","선택 안함",IF(O62="특약 없음","특약 없음","가입"))</x:f>
        <x:v>선택 안함</x:v>
      </x:c>
      <x:c r="Q62" s="2" t="str">
        <x:f>IF(P62="가입","가입","미가입")</x:f>
        <x:v>미가입</x:v>
      </x:c>
    </x:row>
    <x:row r="63" ht="23" customHeight="1">
      <x:c r="A63" s="2" t="str">
        <x:v>C0237</x:v>
      </x:c>
      <x:c r="B63" s="7" t="n">
        <x:v>22</x:v>
      </x:c>
      <x:c r="C63" s="2" t="str">
        <x:f>INT(B63/10)*10&amp;"대"</x:f>
        <x:v>20대</x:v>
      </x:c>
      <x:c r="D63" s="2" t="str">
        <x:v>남성</x:v>
      </x:c>
      <x:c r="E63" s="7" t="n">
        <x:v>3000</x:v>
      </x:c>
      <x:c r="F63" s="7" t="n">
        <x:v>1</x:v>
      </x:c>
      <x:c r="G63" s="2" t="str">
        <x:v>미혼</x:v>
      </x:c>
      <x:c r="H63" s="7" t="n">
        <x:v>0</x:v>
      </x:c>
      <x:c r="I63" s="2" t="str">
        <x:f>IF(H63&lt;3,H63&amp;"명","3명 이상")</x:f>
        <x:v>0명</x:v>
      </x:c>
      <x:c r="J63" s="2" t="str">
        <x:v>비흡연</x:v>
      </x:c>
      <x:c r="K63" s="2" t="str">
        <x:v>없음</x:v>
      </x:c>
      <x:c r="L63" s="2" t="str">
        <x:v>암</x:v>
      </x:c>
      <x:c r="M63" s="2" t="str">
        <x:v>수호천사 암/건강보험</x:v>
      </x:c>
      <x:c r="N63" s="2" t="str">
        <x:f>VLOOKUP(M63,'분류기준'!$A$5:$B$8,2,FALSE)</x:f>
        <x:v>암/건강보험</x:v>
      </x:c>
      <x:c r="O63" s="2" t="str">
        <x:v>수술비 보장 특약</x:v>
      </x:c>
      <x:c r="P63" s="2" t="str">
        <x:f>IF(O63="선택 안함","선택 안함",IF(O63="특약 없음","특약 없음","가입"))</x:f>
        <x:v>가입</x:v>
      </x:c>
      <x:c r="Q63" s="2" t="str">
        <x:f>IF(P63="가입","가입","미가입")</x:f>
        <x:v>가입</x:v>
      </x:c>
    </x:row>
    <x:row r="64" ht="23" customHeight="1">
      <x:c r="A64" s="2" t="str">
        <x:v>C0271</x:v>
      </x:c>
      <x:c r="B64" s="7" t="n">
        <x:v>22</x:v>
      </x:c>
      <x:c r="C64" s="2" t="str">
        <x:f>INT(B64/10)*10&amp;"대"</x:f>
        <x:v>20대</x:v>
      </x:c>
      <x:c r="D64" s="2" t="str">
        <x:v>남성</x:v>
      </x:c>
      <x:c r="E64" s="7" t="n">
        <x:v>4000</x:v>
      </x:c>
      <x:c r="F64" s="7" t="n">
        <x:v>1</x:v>
      </x:c>
      <x:c r="G64" s="2" t="str">
        <x:v>미혼</x:v>
      </x:c>
      <x:c r="H64" s="7" t="n">
        <x:v>0</x:v>
      </x:c>
      <x:c r="I64" s="2" t="str">
        <x:f>IF(H64&lt;3,H64&amp;"명","3명 이상")</x:f>
        <x:v>0명</x:v>
      </x:c>
      <x:c r="J64" s="2" t="str">
        <x:v>흡연</x:v>
      </x:c>
      <x:c r="K64" s="2" t="str">
        <x:v>없음</x:v>
      </x:c>
      <x:c r="L64" s="2" t="str">
        <x:v>없음</x:v>
      </x:c>
      <x:c r="M64" s="2" t="str">
        <x:v>수호천사 우리가족 종신보험</x:v>
      </x:c>
      <x:c r="N64" s="2" t="str">
        <x:f>VLOOKUP(M64,'분류기준'!$A$5:$B$8,2,FALSE)</x:f>
        <x:v>종신보험</x:v>
      </x:c>
      <x:c r="O64" s="2" t="str">
        <x:v>선택 안함</x:v>
      </x:c>
      <x:c r="P64" s="2" t="str">
        <x:f>IF(O64="선택 안함","선택 안함",IF(O64="특약 없음","특약 없음","가입"))</x:f>
        <x:v>선택 안함</x:v>
      </x:c>
      <x:c r="Q64" s="2" t="str">
        <x:f>IF(P64="가입","가입","미가입")</x:f>
        <x:v>미가입</x:v>
      </x:c>
    </x:row>
    <x:row r="65" ht="23" customHeight="1">
      <x:c r="A65" s="2" t="str">
        <x:v>C0303</x:v>
      </x:c>
      <x:c r="B65" s="7" t="n">
        <x:v>22</x:v>
      </x:c>
      <x:c r="C65" s="2" t="str">
        <x:f>INT(B65/10)*10&amp;"대"</x:f>
        <x:v>20대</x:v>
      </x:c>
      <x:c r="D65" s="2" t="str">
        <x:v>여성</x:v>
      </x:c>
      <x:c r="E65" s="7" t="n">
        <x:v>5000</x:v>
      </x:c>
      <x:c r="F65" s="7" t="n">
        <x:v>1</x:v>
      </x:c>
      <x:c r="G65" s="2" t="str">
        <x:v>미혼</x:v>
      </x:c>
      <x:c r="H65" s="7" t="n">
        <x:v>0</x:v>
      </x:c>
      <x:c r="I65" s="2" t="str">
        <x:f>IF(H65&lt;3,H65&amp;"명","3명 이상")</x:f>
        <x:v>0명</x:v>
      </x:c>
      <x:c r="J65" s="2" t="str">
        <x:v>흡연</x:v>
      </x:c>
      <x:c r="K65" s="2" t="str">
        <x:v>없음</x:v>
      </x:c>
      <x:c r="L65" s="2" t="str">
        <x:v>없음</x:v>
      </x:c>
      <x:c r="M65" s="2" t="str">
        <x:v>수호천사 암/건강보험</x:v>
      </x:c>
      <x:c r="N65" s="2" t="str">
        <x:f>VLOOKUP(M65,'분류기준'!$A$5:$B$8,2,FALSE)</x:f>
        <x:v>암/건강보험</x:v>
      </x:c>
      <x:c r="O65" s="2" t="str">
        <x:v>표적항암약물허가치료 특약</x:v>
      </x:c>
      <x:c r="P65" s="2" t="str">
        <x:f>IF(O65="선택 안함","선택 안함",IF(O65="특약 없음","특약 없음","가입"))</x:f>
        <x:v>가입</x:v>
      </x:c>
      <x:c r="Q65" s="2" t="str">
        <x:f>IF(P65="가입","가입","미가입")</x:f>
        <x:v>가입</x:v>
      </x:c>
    </x:row>
    <x:row r="66" ht="23" customHeight="1">
      <x:c r="A66" s="2" t="str">
        <x:v>C0347</x:v>
      </x:c>
      <x:c r="B66" s="7" t="n">
        <x:v>22</x:v>
      </x:c>
      <x:c r="C66" s="2" t="str">
        <x:f>INT(B66/10)*10&amp;"대"</x:f>
        <x:v>20대</x:v>
      </x:c>
      <x:c r="D66" s="2" t="str">
        <x:v>여성</x:v>
      </x:c>
      <x:c r="E66" s="7" t="n">
        <x:v>6000</x:v>
      </x:c>
      <x:c r="F66" s="7" t="n">
        <x:v>1</x:v>
      </x:c>
      <x:c r="G66" s="2" t="str">
        <x:v>미혼</x:v>
      </x:c>
      <x:c r="H66" s="7" t="n">
        <x:v>0</x:v>
      </x:c>
      <x:c r="I66" s="2" t="str">
        <x:f>IF(H66&lt;3,H66&amp;"명","3명 이상")</x:f>
        <x:v>0명</x:v>
      </x:c>
      <x:c r="J66" s="2" t="str">
        <x:v>비흡연</x:v>
      </x:c>
      <x:c r="K66" s="2" t="str">
        <x:v>없음</x:v>
      </x:c>
      <x:c r="L66" s="2" t="str">
        <x:v>없음</x:v>
      </x:c>
      <x:c r="M66" s="2" t="str">
        <x:v>수호천사 행복 연금보험</x:v>
      </x:c>
      <x:c r="N66" s="2" t="str">
        <x:f>VLOOKUP(M66,'분류기준'!$A$5:$B$8,2,FALSE)</x:f>
        <x:v>연금보험</x:v>
      </x:c>
      <x:c r="O66" s="2" t="str">
        <x:v>특약 없음</x:v>
      </x:c>
      <x:c r="P66" s="2" t="str">
        <x:f>IF(O66="선택 안함","선택 안함",IF(O66="특약 없음","특약 없음","가입"))</x:f>
        <x:v>특약 없음</x:v>
      </x:c>
      <x:c r="Q66" s="2" t="str">
        <x:f>IF(P66="가입","가입","미가입")</x:f>
        <x:v>미가입</x:v>
      </x:c>
    </x:row>
    <x:row r="67" ht="23" customHeight="1">
      <x:c r="A67" s="2" t="str">
        <x:v>C0352</x:v>
      </x:c>
      <x:c r="B67" s="7" t="n">
        <x:v>22</x:v>
      </x:c>
      <x:c r="C67" s="2" t="str">
        <x:f>INT(B67/10)*10&amp;"대"</x:f>
        <x:v>20대</x:v>
      </x:c>
      <x:c r="D67" s="2" t="str">
        <x:v>남성</x:v>
      </x:c>
      <x:c r="E67" s="7" t="n">
        <x:v>3000</x:v>
      </x:c>
      <x:c r="F67" s="7" t="n">
        <x:v>1</x:v>
      </x:c>
      <x:c r="G67" s="2" t="str">
        <x:v>미혼</x:v>
      </x:c>
      <x:c r="H67" s="7" t="n">
        <x:v>0</x:v>
      </x:c>
      <x:c r="I67" s="2" t="str">
        <x:f>IF(H67&lt;3,H67&amp;"명","3명 이상")</x:f>
        <x:v>0명</x:v>
      </x:c>
      <x:c r="J67" s="2" t="str">
        <x:v>비흡연</x:v>
      </x:c>
      <x:c r="K67" s="2" t="str">
        <x:v>없음</x:v>
      </x:c>
      <x:c r="L67" s="2" t="str">
        <x:v>심혈관</x:v>
      </x:c>
      <x:c r="M67" s="2" t="str">
        <x:v>수호천사 암/건강보험</x:v>
      </x:c>
      <x:c r="N67" s="2" t="str">
        <x:f>VLOOKUP(M67,'분류기준'!$A$5:$B$8,2,FALSE)</x:f>
        <x:v>암/건강보험</x:v>
      </x:c>
      <x:c r="O67" s="2" t="str">
        <x:v>수술비 보장 특약</x:v>
      </x:c>
      <x:c r="P67" s="2" t="str">
        <x:f>IF(O67="선택 안함","선택 안함",IF(O67="특약 없음","특약 없음","가입"))</x:f>
        <x:v>가입</x:v>
      </x:c>
      <x:c r="Q67" s="2" t="str">
        <x:f>IF(P67="가입","가입","미가입")</x:f>
        <x:v>가입</x:v>
      </x:c>
    </x:row>
    <x:row r="68" ht="23" customHeight="1">
      <x:c r="A68" s="2" t="str">
        <x:v>C0443</x:v>
      </x:c>
      <x:c r="B68" s="7" t="n">
        <x:v>22</x:v>
      </x:c>
      <x:c r="C68" s="2" t="str">
        <x:f>INT(B68/10)*10&amp;"대"</x:f>
        <x:v>20대</x:v>
      </x:c>
      <x:c r="D68" s="2" t="str">
        <x:v>여성</x:v>
      </x:c>
      <x:c r="E68" s="7" t="n">
        <x:v>4000</x:v>
      </x:c>
      <x:c r="F68" s="7" t="n">
        <x:v>1</x:v>
      </x:c>
      <x:c r="G68" s="2" t="str">
        <x:v>미혼</x:v>
      </x:c>
      <x:c r="H68" s="7" t="n">
        <x:v>0</x:v>
      </x:c>
      <x:c r="I68" s="2" t="str">
        <x:f>IF(H68&lt;3,H68&amp;"명","3명 이상")</x:f>
        <x:v>0명</x:v>
      </x:c>
      <x:c r="J68" s="2" t="str">
        <x:v>비흡연</x:v>
      </x:c>
      <x:c r="K68" s="2" t="str">
        <x:v>없음</x:v>
      </x:c>
      <x:c r="L68" s="2" t="str">
        <x:v>심혈관</x:v>
      </x:c>
      <x:c r="M68" s="2" t="str">
        <x:v>수호천사 암/건강보험</x:v>
      </x:c>
      <x:c r="N68" s="2" t="str">
        <x:f>VLOOKUP(M68,'분류기준'!$A$5:$B$8,2,FALSE)</x:f>
        <x:v>암/건강보험</x:v>
      </x:c>
      <x:c r="O68" s="2" t="str">
        <x:v>선택 안함</x:v>
      </x:c>
      <x:c r="P68" s="2" t="str">
        <x:f>IF(O68="선택 안함","선택 안함",IF(O68="특약 없음","특약 없음","가입"))</x:f>
        <x:v>선택 안함</x:v>
      </x:c>
      <x:c r="Q68" s="2" t="str">
        <x:f>IF(P68="가입","가입","미가입")</x:f>
        <x:v>미가입</x:v>
      </x:c>
    </x:row>
    <x:row r="69" ht="23" customHeight="1">
      <x:c r="A69" s="2" t="str">
        <x:v>C0495</x:v>
      </x:c>
      <x:c r="B69" s="7" t="n">
        <x:v>22</x:v>
      </x:c>
      <x:c r="C69" s="2" t="str">
        <x:f>INT(B69/10)*10&amp;"대"</x:f>
        <x:v>20대</x:v>
      </x:c>
      <x:c r="D69" s="2" t="str">
        <x:v>남성</x:v>
      </x:c>
      <x:c r="E69" s="7" t="n">
        <x:v>5000</x:v>
      </x:c>
      <x:c r="F69" s="7" t="n">
        <x:v>2</x:v>
      </x:c>
      <x:c r="G69" s="2" t="str">
        <x:v>미혼</x:v>
      </x:c>
      <x:c r="H69" s="7" t="n">
        <x:v>0</x:v>
      </x:c>
      <x:c r="I69" s="2" t="str">
        <x:f>IF(H69&lt;3,H69&amp;"명","3명 이상")</x:f>
        <x:v>0명</x:v>
      </x:c>
      <x:c r="J69" s="2" t="str">
        <x:v>비흡연</x:v>
      </x:c>
      <x:c r="K69" s="2" t="str">
        <x:v>없음</x:v>
      </x:c>
      <x:c r="L69" s="2" t="str">
        <x:v>없음</x:v>
      </x:c>
      <x:c r="M69" s="2" t="str">
        <x:v>수호천사 행복 연금보험</x:v>
      </x:c>
      <x:c r="N69" s="2" t="str">
        <x:f>VLOOKUP(M69,'분류기준'!$A$5:$B$8,2,FALSE)</x:f>
        <x:v>연금보험</x:v>
      </x:c>
      <x:c r="O69" s="2" t="str">
        <x:v>특약 없음</x:v>
      </x:c>
      <x:c r="P69" s="2" t="str">
        <x:f>IF(O69="선택 안함","선택 안함",IF(O69="특약 없음","특약 없음","가입"))</x:f>
        <x:v>특약 없음</x:v>
      </x:c>
      <x:c r="Q69" s="2" t="str">
        <x:f>IF(P69="가입","가입","미가입")</x:f>
        <x:v>미가입</x:v>
      </x:c>
    </x:row>
    <x:row r="70" ht="23" customHeight="1">
      <x:c r="A70" s="2" t="str">
        <x:v>C0627</x:v>
      </x:c>
      <x:c r="B70" s="7" t="n">
        <x:v>22</x:v>
      </x:c>
      <x:c r="C70" s="2" t="str">
        <x:f>INT(B70/10)*10&amp;"대"</x:f>
        <x:v>20대</x:v>
      </x:c>
      <x:c r="D70" s="2" t="str">
        <x:v>여성</x:v>
      </x:c>
      <x:c r="E70" s="7" t="n">
        <x:v>5000</x:v>
      </x:c>
      <x:c r="F70" s="7" t="n">
        <x:v>1</x:v>
      </x:c>
      <x:c r="G70" s="2" t="str">
        <x:v>기혼</x:v>
      </x:c>
      <x:c r="H70" s="7" t="n">
        <x:v>0</x:v>
      </x:c>
      <x:c r="I70" s="2" t="str">
        <x:f>IF(H70&lt;3,H70&amp;"명","3명 이상")</x:f>
        <x:v>0명</x:v>
      </x:c>
      <x:c r="J70" s="2" t="str">
        <x:v>흡연</x:v>
      </x:c>
      <x:c r="K70" s="2" t="str">
        <x:v>없음</x:v>
      </x:c>
      <x:c r="L70" s="2" t="str">
        <x:v>암</x:v>
      </x:c>
      <x:c r="M70" s="2" t="str">
        <x:v>수호천사 암/건강보험</x:v>
      </x:c>
      <x:c r="N70" s="2" t="str">
        <x:f>VLOOKUP(M70,'분류기준'!$A$5:$B$8,2,FALSE)</x:f>
        <x:v>암/건강보험</x:v>
      </x:c>
      <x:c r="O70" s="2" t="str">
        <x:v>표적항암약물허가치료 특약</x:v>
      </x:c>
      <x:c r="P70" s="2" t="str">
        <x:f>IF(O70="선택 안함","선택 안함",IF(O70="특약 없음","특약 없음","가입"))</x:f>
        <x:v>가입</x:v>
      </x:c>
      <x:c r="Q70" s="2" t="str">
        <x:f>IF(P70="가입","가입","미가입")</x:f>
        <x:v>가입</x:v>
      </x:c>
    </x:row>
    <x:row r="71" ht="23" customHeight="1">
      <x:c r="A71" s="2" t="str">
        <x:v>C0637</x:v>
      </x:c>
      <x:c r="B71" s="7" t="n">
        <x:v>22</x:v>
      </x:c>
      <x:c r="C71" s="2" t="str">
        <x:f>INT(B71/10)*10&amp;"대"</x:f>
        <x:v>20대</x:v>
      </x:c>
      <x:c r="D71" s="2" t="str">
        <x:v>남성</x:v>
      </x:c>
      <x:c r="E71" s="7" t="n">
        <x:v>7500</x:v>
      </x:c>
      <x:c r="F71" s="7" t="n">
        <x:v>3</x:v>
      </x:c>
      <x:c r="G71" s="2" t="str">
        <x:v>미혼</x:v>
      </x:c>
      <x:c r="H71" s="7" t="n">
        <x:v>0</x:v>
      </x:c>
      <x:c r="I71" s="2" t="str">
        <x:f>IF(H71&lt;3,H71&amp;"명","3명 이상")</x:f>
        <x:v>0명</x:v>
      </x:c>
      <x:c r="J71" s="2" t="str">
        <x:v>흡연</x:v>
      </x:c>
      <x:c r="K71" s="2" t="str">
        <x:v>없음</x:v>
      </x:c>
      <x:c r="L71" s="2" t="str">
        <x:v>심혈관</x:v>
      </x:c>
      <x:c r="M71" s="2" t="str">
        <x:v>수호천사 우리가족 종신보험</x:v>
      </x:c>
      <x:c r="N71" s="2" t="str">
        <x:f>VLOOKUP(M71,'분류기준'!$A$5:$B$8,2,FALSE)</x:f>
        <x:v>종신보험</x:v>
      </x:c>
      <x:c r="O71" s="2" t="str">
        <x:v>선택 안함</x:v>
      </x:c>
      <x:c r="P71" s="2" t="str">
        <x:f>IF(O71="선택 안함","선택 안함",IF(O71="특약 없음","특약 없음","가입"))</x:f>
        <x:v>선택 안함</x:v>
      </x:c>
      <x:c r="Q71" s="2" t="str">
        <x:f>IF(P71="가입","가입","미가입")</x:f>
        <x:v>미가입</x:v>
      </x:c>
    </x:row>
    <x:row r="72" ht="23" customHeight="1">
      <x:c r="A72" s="2" t="str">
        <x:v>C0663</x:v>
      </x:c>
      <x:c r="B72" s="7" t="n">
        <x:v>22</x:v>
      </x:c>
      <x:c r="C72" s="2" t="str">
        <x:f>INT(B72/10)*10&amp;"대"</x:f>
        <x:v>20대</x:v>
      </x:c>
      <x:c r="D72" s="2" t="str">
        <x:v>여성</x:v>
      </x:c>
      <x:c r="E72" s="7" t="n">
        <x:v>3000</x:v>
      </x:c>
      <x:c r="F72" s="7" t="n">
        <x:v>2</x:v>
      </x:c>
      <x:c r="G72" s="2" t="str">
        <x:v>미혼</x:v>
      </x:c>
      <x:c r="H72" s="7" t="n">
        <x:v>0</x:v>
      </x:c>
      <x:c r="I72" s="2" t="str">
        <x:f>IF(H72&lt;3,H72&amp;"명","3명 이상")</x:f>
        <x:v>0명</x:v>
      </x:c>
      <x:c r="J72" s="2" t="str">
        <x:v>비흡연</x:v>
      </x:c>
      <x:c r="K72" s="2" t="str">
        <x:v>없음</x:v>
      </x:c>
      <x:c r="L72" s="2" t="str">
        <x:v>없음</x:v>
      </x:c>
      <x:c r="M72" s="2" t="str">
        <x:v>수호천사 암/건강보험</x:v>
      </x:c>
      <x:c r="N72" s="2" t="str">
        <x:f>VLOOKUP(M72,'분류기준'!$A$5:$B$8,2,FALSE)</x:f>
        <x:v>암/건강보험</x:v>
      </x:c>
      <x:c r="O72" s="2" t="str">
        <x:v>표적항암약물허가치료 특약</x:v>
      </x:c>
      <x:c r="P72" s="2" t="str">
        <x:f>IF(O72="선택 안함","선택 안함",IF(O72="특약 없음","특약 없음","가입"))</x:f>
        <x:v>가입</x:v>
      </x:c>
      <x:c r="Q72" s="2" t="str">
        <x:f>IF(P72="가입","가입","미가입")</x:f>
        <x:v>가입</x:v>
      </x:c>
    </x:row>
    <x:row r="73" ht="23" customHeight="1">
      <x:c r="A73" s="2" t="str">
        <x:v>C0730</x:v>
      </x:c>
      <x:c r="B73" s="7" t="n">
        <x:v>22</x:v>
      </x:c>
      <x:c r="C73" s="2" t="str">
        <x:f>INT(B73/10)*10&amp;"대"</x:f>
        <x:v>20대</x:v>
      </x:c>
      <x:c r="D73" s="2" t="str">
        <x:v>여성</x:v>
      </x:c>
      <x:c r="E73" s="7" t="n">
        <x:v>5000</x:v>
      </x:c>
      <x:c r="F73" s="7" t="n">
        <x:v>2</x:v>
      </x:c>
      <x:c r="G73" s="2" t="str">
        <x:v>미혼</x:v>
      </x:c>
      <x:c r="H73" s="7" t="n">
        <x:v>0</x:v>
      </x:c>
      <x:c r="I73" s="2" t="str">
        <x:f>IF(H73&lt;3,H73&amp;"명","3명 이상")</x:f>
        <x:v>0명</x:v>
      </x:c>
      <x:c r="J73" s="2" t="str">
        <x:v>비흡연</x:v>
      </x:c>
      <x:c r="K73" s="2" t="str">
        <x:v>없음</x:v>
      </x:c>
      <x:c r="L73" s="2" t="str">
        <x:v>없음</x:v>
      </x:c>
      <x:c r="M73" s="2" t="str">
        <x:v>수호천사 행복 연금보험</x:v>
      </x:c>
      <x:c r="N73" s="2" t="str">
        <x:f>VLOOKUP(M73,'분류기준'!$A$5:$B$8,2,FALSE)</x:f>
        <x:v>연금보험</x:v>
      </x:c>
      <x:c r="O73" s="2" t="str">
        <x:v>특약 없음</x:v>
      </x:c>
      <x:c r="P73" s="2" t="str">
        <x:f>IF(O73="선택 안함","선택 안함",IF(O73="특약 없음","특약 없음","가입"))</x:f>
        <x:v>특약 없음</x:v>
      </x:c>
      <x:c r="Q73" s="2" t="str">
        <x:f>IF(P73="가입","가입","미가입")</x:f>
        <x:v>미가입</x:v>
      </x:c>
    </x:row>
    <x:row r="74" ht="23" customHeight="1">
      <x:c r="A74" s="2" t="str">
        <x:v>C0756</x:v>
      </x:c>
      <x:c r="B74" s="7" t="n">
        <x:v>22</x:v>
      </x:c>
      <x:c r="C74" s="2" t="str">
        <x:f>INT(B74/10)*10&amp;"대"</x:f>
        <x:v>20대</x:v>
      </x:c>
      <x:c r="D74" s="2" t="str">
        <x:v>남성</x:v>
      </x:c>
      <x:c r="E74" s="7" t="n">
        <x:v>3000</x:v>
      </x:c>
      <x:c r="F74" s="7" t="n">
        <x:v>3</x:v>
      </x:c>
      <x:c r="G74" s="2" t="str">
        <x:v>기혼</x:v>
      </x:c>
      <x:c r="H74" s="7" t="n">
        <x:v>0</x:v>
      </x:c>
      <x:c r="I74" s="2" t="str">
        <x:f>IF(H74&lt;3,H74&amp;"명","3명 이상")</x:f>
        <x:v>0명</x:v>
      </x:c>
      <x:c r="J74" s="2" t="str">
        <x:v>흡연</x:v>
      </x:c>
      <x:c r="K74" s="2" t="str">
        <x:v>없음</x:v>
      </x:c>
      <x:c r="L74" s="2" t="str">
        <x:v>없음</x:v>
      </x:c>
      <x:c r="M74" s="2" t="str">
        <x:v>수호천사 우리가족 종신보험</x:v>
      </x:c>
      <x:c r="N74" s="2" t="str">
        <x:f>VLOOKUP(M74,'분류기준'!$A$5:$B$8,2,FALSE)</x:f>
        <x:v>종신보험</x:v>
      </x:c>
      <x:c r="O74" s="2" t="str">
        <x:v>선택 안함</x:v>
      </x:c>
      <x:c r="P74" s="2" t="str">
        <x:f>IF(O74="선택 안함","선택 안함",IF(O74="특약 없음","특약 없음","가입"))</x:f>
        <x:v>선택 안함</x:v>
      </x:c>
      <x:c r="Q74" s="2" t="str">
        <x:f>IF(P74="가입","가입","미가입")</x:f>
        <x:v>미가입</x:v>
      </x:c>
    </x:row>
    <x:row r="75" ht="23" customHeight="1">
      <x:c r="A75" s="2" t="str">
        <x:v>C0815</x:v>
      </x:c>
      <x:c r="B75" s="7" t="n">
        <x:v>22</x:v>
      </x:c>
      <x:c r="C75" s="2" t="str">
        <x:f>INT(B75/10)*10&amp;"대"</x:f>
        <x:v>20대</x:v>
      </x:c>
      <x:c r="D75" s="2" t="str">
        <x:v>여성</x:v>
      </x:c>
      <x:c r="E75" s="7" t="n">
        <x:v>3000</x:v>
      </x:c>
      <x:c r="F75" s="7" t="n">
        <x:v>1</x:v>
      </x:c>
      <x:c r="G75" s="2" t="str">
        <x:v>미혼</x:v>
      </x:c>
      <x:c r="H75" s="7" t="n">
        <x:v>0</x:v>
      </x:c>
      <x:c r="I75" s="2" t="str">
        <x:f>IF(H75&lt;3,H75&amp;"명","3명 이상")</x:f>
        <x:v>0명</x:v>
      </x:c>
      <x:c r="J75" s="2" t="str">
        <x:v>비흡연</x:v>
      </x:c>
      <x:c r="K75" s="2" t="str">
        <x:v>없음</x:v>
      </x:c>
      <x:c r="L75" s="2" t="str">
        <x:v>암</x:v>
      </x:c>
      <x:c r="M75" s="2" t="str">
        <x:v>수호천사 행복 연금보험</x:v>
      </x:c>
      <x:c r="N75" s="2" t="str">
        <x:f>VLOOKUP(M75,'분류기준'!$A$5:$B$8,2,FALSE)</x:f>
        <x:v>연금보험</x:v>
      </x:c>
      <x:c r="O75" s="2" t="str">
        <x:v>특약 없음</x:v>
      </x:c>
      <x:c r="P75" s="2" t="str">
        <x:f>IF(O75="선택 안함","선택 안함",IF(O75="특약 없음","특약 없음","가입"))</x:f>
        <x:v>특약 없음</x:v>
      </x:c>
      <x:c r="Q75" s="2" t="str">
        <x:f>IF(P75="가입","가입","미가입")</x:f>
        <x:v>미가입</x:v>
      </x:c>
    </x:row>
    <x:row r="76" ht="23" customHeight="1">
      <x:c r="A76" s="2" t="str">
        <x:v>C0817</x:v>
      </x:c>
      <x:c r="B76" s="7" t="n">
        <x:v>22</x:v>
      </x:c>
      <x:c r="C76" s="2" t="str">
        <x:f>INT(B76/10)*10&amp;"대"</x:f>
        <x:v>20대</x:v>
      </x:c>
      <x:c r="D76" s="2" t="str">
        <x:v>남성</x:v>
      </x:c>
      <x:c r="E76" s="7" t="n">
        <x:v>7500</x:v>
      </x:c>
      <x:c r="F76" s="7" t="n">
        <x:v>3</x:v>
      </x:c>
      <x:c r="G76" s="2" t="str">
        <x:v>미혼</x:v>
      </x:c>
      <x:c r="H76" s="7" t="n">
        <x:v>0</x:v>
      </x:c>
      <x:c r="I76" s="2" t="str">
        <x:f>IF(H76&lt;3,H76&amp;"명","3명 이상")</x:f>
        <x:v>0명</x:v>
      </x:c>
      <x:c r="J76" s="2" t="str">
        <x:v>비흡연</x:v>
      </x:c>
      <x:c r="K76" s="2" t="str">
        <x:v>없음</x:v>
      </x:c>
      <x:c r="L76" s="2" t="str">
        <x:v>없음</x:v>
      </x:c>
      <x:c r="M76" s="2" t="str">
        <x:v>수호천사 행복 연금보험</x:v>
      </x:c>
      <x:c r="N76" s="2" t="str">
        <x:f>VLOOKUP(M76,'분류기준'!$A$5:$B$8,2,FALSE)</x:f>
        <x:v>연금보험</x:v>
      </x:c>
      <x:c r="O76" s="2" t="str">
        <x:v>특약 없음</x:v>
      </x:c>
      <x:c r="P76" s="2" t="str">
        <x:f>IF(O76="선택 안함","선택 안함",IF(O76="특약 없음","특약 없음","가입"))</x:f>
        <x:v>특약 없음</x:v>
      </x:c>
      <x:c r="Q76" s="2" t="str">
        <x:f>IF(P76="가입","가입","미가입")</x:f>
        <x:v>미가입</x:v>
      </x:c>
    </x:row>
    <x:row r="77" ht="23" customHeight="1">
      <x:c r="A77" s="2" t="str">
        <x:v>C0865</x:v>
      </x:c>
      <x:c r="B77" s="7" t="n">
        <x:v>22</x:v>
      </x:c>
      <x:c r="C77" s="2" t="str">
        <x:f>INT(B77/10)*10&amp;"대"</x:f>
        <x:v>20대</x:v>
      </x:c>
      <x:c r="D77" s="2" t="str">
        <x:v>남성</x:v>
      </x:c>
      <x:c r="E77" s="7" t="n">
        <x:v>5000</x:v>
      </x:c>
      <x:c r="F77" s="7" t="n">
        <x:v>1</x:v>
      </x:c>
      <x:c r="G77" s="2" t="str">
        <x:v>미혼</x:v>
      </x:c>
      <x:c r="H77" s="7" t="n">
        <x:v>0</x:v>
      </x:c>
      <x:c r="I77" s="2" t="str">
        <x:f>IF(H77&lt;3,H77&amp;"명","3명 이상")</x:f>
        <x:v>0명</x:v>
      </x:c>
      <x:c r="J77" s="2" t="str">
        <x:v>흡연</x:v>
      </x:c>
      <x:c r="K77" s="2" t="str">
        <x:v>없음</x:v>
      </x:c>
      <x:c r="L77" s="2" t="str">
        <x:v>없음</x:v>
      </x:c>
      <x:c r="M77" s="2" t="str">
        <x:v>수호천사 암/건강보험</x:v>
      </x:c>
      <x:c r="N77" s="2" t="str">
        <x:f>VLOOKUP(M77,'분류기준'!$A$5:$B$8,2,FALSE)</x:f>
        <x:v>암/건강보험</x:v>
      </x:c>
      <x:c r="O77" s="2" t="str">
        <x:v>표적항암약물허가치료 특약</x:v>
      </x:c>
      <x:c r="P77" s="2" t="str">
        <x:f>IF(O77="선택 안함","선택 안함",IF(O77="특약 없음","특약 없음","가입"))</x:f>
        <x:v>가입</x:v>
      </x:c>
      <x:c r="Q77" s="2" t="str">
        <x:f>IF(P77="가입","가입","미가입")</x:f>
        <x:v>가입</x:v>
      </x:c>
    </x:row>
    <x:row r="78" ht="23" customHeight="1">
      <x:c r="A78" s="2" t="str">
        <x:v>C0891</x:v>
      </x:c>
      <x:c r="B78" s="7" t="n">
        <x:v>22</x:v>
      </x:c>
      <x:c r="C78" s="2" t="str">
        <x:f>INT(B78/10)*10&amp;"대"</x:f>
        <x:v>20대</x:v>
      </x:c>
      <x:c r="D78" s="2" t="str">
        <x:v>남성</x:v>
      </x:c>
      <x:c r="E78" s="7" t="n">
        <x:v>3000</x:v>
      </x:c>
      <x:c r="F78" s="7" t="n">
        <x:v>3</x:v>
      </x:c>
      <x:c r="G78" s="2" t="str">
        <x:v>미혼</x:v>
      </x:c>
      <x:c r="H78" s="7" t="n">
        <x:v>0</x:v>
      </x:c>
      <x:c r="I78" s="2" t="str">
        <x:f>IF(H78&lt;3,H78&amp;"명","3명 이상")</x:f>
        <x:v>0명</x:v>
      </x:c>
      <x:c r="J78" s="2" t="str">
        <x:v>비흡연</x:v>
      </x:c>
      <x:c r="K78" s="2" t="str">
        <x:v>없음</x:v>
      </x:c>
      <x:c r="L78" s="2" t="str">
        <x:v>없음</x:v>
      </x:c>
      <x:c r="M78" s="2" t="str">
        <x:v>수호천사 우리가족 종신보험</x:v>
      </x:c>
      <x:c r="N78" s="2" t="str">
        <x:f>VLOOKUP(M78,'분류기준'!$A$5:$B$8,2,FALSE)</x:f>
        <x:v>종신보험</x:v>
      </x:c>
      <x:c r="O78" s="2" t="str">
        <x:v>가족 수입 보장 특약</x:v>
      </x:c>
      <x:c r="P78" s="2" t="str">
        <x:f>IF(O78="선택 안함","선택 안함",IF(O78="특약 없음","특약 없음","가입"))</x:f>
        <x:v>가입</x:v>
      </x:c>
      <x:c r="Q78" s="2" t="str">
        <x:f>IF(P78="가입","가입","미가입")</x:f>
        <x:v>가입</x:v>
      </x:c>
    </x:row>
    <x:row r="79" ht="23" customHeight="1">
      <x:c r="A79" s="2" t="str">
        <x:v>C0923</x:v>
      </x:c>
      <x:c r="B79" s="7" t="n">
        <x:v>22</x:v>
      </x:c>
      <x:c r="C79" s="2" t="str">
        <x:f>INT(B79/10)*10&amp;"대"</x:f>
        <x:v>20대</x:v>
      </x:c>
      <x:c r="D79" s="2" t="str">
        <x:v>여성</x:v>
      </x:c>
      <x:c r="E79" s="7" t="n">
        <x:v>5000</x:v>
      </x:c>
      <x:c r="F79" s="7" t="n">
        <x:v>1</x:v>
      </x:c>
      <x:c r="G79" s="2" t="str">
        <x:v>미혼</x:v>
      </x:c>
      <x:c r="H79" s="7" t="n">
        <x:v>0</x:v>
      </x:c>
      <x:c r="I79" s="2" t="str">
        <x:f>IF(H79&lt;3,H79&amp;"명","3명 이상")</x:f>
        <x:v>0명</x:v>
      </x:c>
      <x:c r="J79" s="2" t="str">
        <x:v>비흡연</x:v>
      </x:c>
      <x:c r="K79" s="2" t="str">
        <x:v>없음</x:v>
      </x:c>
      <x:c r="L79" s="2" t="str">
        <x:v>없음</x:v>
      </x:c>
      <x:c r="M79" s="2" t="str">
        <x:v>수호천사 암/건강보험</x:v>
      </x:c>
      <x:c r="N79" s="2" t="str">
        <x:f>VLOOKUP(M79,'분류기준'!$A$5:$B$8,2,FALSE)</x:f>
        <x:v>암/건강보험</x:v>
      </x:c>
      <x:c r="O79" s="2" t="str">
        <x:v>표적항암약물허가치료 특약</x:v>
      </x:c>
      <x:c r="P79" s="2" t="str">
        <x:f>IF(O79="선택 안함","선택 안함",IF(O79="특약 없음","특약 없음","가입"))</x:f>
        <x:v>가입</x:v>
      </x:c>
      <x:c r="Q79" s="2" t="str">
        <x:f>IF(P79="가입","가입","미가입")</x:f>
        <x:v>가입</x:v>
      </x:c>
    </x:row>
    <x:row r="80" ht="23" customHeight="1">
      <x:c r="A80" s="2" t="str">
        <x:v>C0965</x:v>
      </x:c>
      <x:c r="B80" s="7" t="n">
        <x:v>22</x:v>
      </x:c>
      <x:c r="C80" s="2" t="str">
        <x:f>INT(B80/10)*10&amp;"대"</x:f>
        <x:v>20대</x:v>
      </x:c>
      <x:c r="D80" s="2" t="str">
        <x:v>남성</x:v>
      </x:c>
      <x:c r="E80" s="7" t="n">
        <x:v>3000</x:v>
      </x:c>
      <x:c r="F80" s="7" t="n">
        <x:v>1</x:v>
      </x:c>
      <x:c r="G80" s="2" t="str">
        <x:v>미혼</x:v>
      </x:c>
      <x:c r="H80" s="7" t="n">
        <x:v>0</x:v>
      </x:c>
      <x:c r="I80" s="2" t="str">
        <x:f>IF(H80&lt;3,H80&amp;"명","3명 이상")</x:f>
        <x:v>0명</x:v>
      </x:c>
      <x:c r="J80" s="2" t="str">
        <x:v>비흡연</x:v>
      </x:c>
      <x:c r="K80" s="2" t="str">
        <x:v>고혈압</x:v>
      </x:c>
      <x:c r="L80" s="2" t="str">
        <x:v>암</x:v>
      </x:c>
      <x:c r="M80" s="2" t="str">
        <x:v>수호천사 간편심사(유병자)보험</x:v>
      </x:c>
      <x:c r="N80" s="2" t="str">
        <x:f>VLOOKUP(M80,'분류기준'!$A$5:$B$8,2,FALSE)</x:f>
        <x:v>간편심사보험</x:v>
      </x:c>
      <x:c r="O80" s="2" t="str">
        <x:v>선택 안함</x:v>
      </x:c>
      <x:c r="P80" s="2" t="str">
        <x:f>IF(O80="선택 안함","선택 안함",IF(O80="특약 없음","특약 없음","가입"))</x:f>
        <x:v>선택 안함</x:v>
      </x:c>
      <x:c r="Q80" s="2" t="str">
        <x:f>IF(P80="가입","가입","미가입")</x:f>
        <x:v>미가입</x:v>
      </x:c>
    </x:row>
    <x:row r="81" ht="23" customHeight="1">
      <x:c r="A81" s="2" t="str">
        <x:v>C0043</x:v>
      </x:c>
      <x:c r="B81" s="7" t="n">
        <x:v>23</x:v>
      </x:c>
      <x:c r="C81" s="2" t="str">
        <x:f>INT(B81/10)*10&amp;"대"</x:f>
        <x:v>20대</x:v>
      </x:c>
      <x:c r="D81" s="2" t="str">
        <x:v>여성</x:v>
      </x:c>
      <x:c r="E81" s="7" t="n">
        <x:v>4000</x:v>
      </x:c>
      <x:c r="F81" s="7" t="n">
        <x:v>1</x:v>
      </x:c>
      <x:c r="G81" s="2" t="str">
        <x:v>기혼</x:v>
      </x:c>
      <x:c r="H81" s="7" t="n">
        <x:v>0</x:v>
      </x:c>
      <x:c r="I81" s="2" t="str">
        <x:f>IF(H81&lt;3,H81&amp;"명","3명 이상")</x:f>
        <x:v>0명</x:v>
      </x:c>
      <x:c r="J81" s="2" t="str">
        <x:v>비흡연</x:v>
      </x:c>
      <x:c r="K81" s="2" t="str">
        <x:v>없음</x:v>
      </x:c>
      <x:c r="L81" s="2" t="str">
        <x:v>없음</x:v>
      </x:c>
      <x:c r="M81" s="2" t="str">
        <x:v>수호천사 간편심사(유병자)보험</x:v>
      </x:c>
      <x:c r="N81" s="2" t="str">
        <x:f>VLOOKUP(M81,'분류기준'!$A$5:$B$8,2,FALSE)</x:f>
        <x:v>간편심사보험</x:v>
      </x:c>
      <x:c r="O81" s="2" t="str">
        <x:v>중증질환 산정특례 보장 특약</x:v>
      </x:c>
      <x:c r="P81" s="2" t="str">
        <x:f>IF(O81="선택 안함","선택 안함",IF(O81="특약 없음","특약 없음","가입"))</x:f>
        <x:v>가입</x:v>
      </x:c>
      <x:c r="Q81" s="2" t="str">
        <x:f>IF(P81="가입","가입","미가입")</x:f>
        <x:v>가입</x:v>
      </x:c>
    </x:row>
    <x:row r="82" ht="23" customHeight="1">
      <x:c r="A82" s="2" t="str">
        <x:v>C0059</x:v>
      </x:c>
      <x:c r="B82" s="7" t="n">
        <x:v>23</x:v>
      </x:c>
      <x:c r="C82" s="2" t="str">
        <x:f>INT(B82/10)*10&amp;"대"</x:f>
        <x:v>20대</x:v>
      </x:c>
      <x:c r="D82" s="2" t="str">
        <x:v>여성</x:v>
      </x:c>
      <x:c r="E82" s="7" t="n">
        <x:v>6000</x:v>
      </x:c>
      <x:c r="F82" s="7" t="n">
        <x:v>1</x:v>
      </x:c>
      <x:c r="G82" s="2" t="str">
        <x:v>미혼</x:v>
      </x:c>
      <x:c r="H82" s="7" t="n">
        <x:v>0</x:v>
      </x:c>
      <x:c r="I82" s="2" t="str">
        <x:f>IF(H82&lt;3,H82&amp;"명","3명 이상")</x:f>
        <x:v>0명</x:v>
      </x:c>
      <x:c r="J82" s="2" t="str">
        <x:v>비흡연</x:v>
      </x:c>
      <x:c r="K82" s="2" t="str">
        <x:v>없음</x:v>
      </x:c>
      <x:c r="L82" s="2" t="str">
        <x:v>없음</x:v>
      </x:c>
      <x:c r="M82" s="2" t="str">
        <x:v>수호천사 행복 연금보험</x:v>
      </x:c>
      <x:c r="N82" s="2" t="str">
        <x:f>VLOOKUP(M82,'분류기준'!$A$5:$B$8,2,FALSE)</x:f>
        <x:v>연금보험</x:v>
      </x:c>
      <x:c r="O82" s="2" t="str">
        <x:v>특약 없음</x:v>
      </x:c>
      <x:c r="P82" s="2" t="str">
        <x:f>IF(O82="선택 안함","선택 안함",IF(O82="특약 없음","특약 없음","가입"))</x:f>
        <x:v>특약 없음</x:v>
      </x:c>
      <x:c r="Q82" s="2" t="str">
        <x:f>IF(P82="가입","가입","미가입")</x:f>
        <x:v>미가입</x:v>
      </x:c>
    </x:row>
    <x:row r="83" ht="23" customHeight="1">
      <x:c r="A83" s="2" t="str">
        <x:v>C0063</x:v>
      </x:c>
      <x:c r="B83" s="7" t="n">
        <x:v>23</x:v>
      </x:c>
      <x:c r="C83" s="2" t="str">
        <x:f>INT(B83/10)*10&amp;"대"</x:f>
        <x:v>20대</x:v>
      </x:c>
      <x:c r="D83" s="2" t="str">
        <x:v>남성</x:v>
      </x:c>
      <x:c r="E83" s="7" t="n">
        <x:v>5000</x:v>
      </x:c>
      <x:c r="F83" s="7" t="n">
        <x:v>1</x:v>
      </x:c>
      <x:c r="G83" s="2" t="str">
        <x:v>미혼</x:v>
      </x:c>
      <x:c r="H83" s="7" t="n">
        <x:v>0</x:v>
      </x:c>
      <x:c r="I83" s="2" t="str">
        <x:f>IF(H83&lt;3,H83&amp;"명","3명 이상")</x:f>
        <x:v>0명</x:v>
      </x:c>
      <x:c r="J83" s="2" t="str">
        <x:v>흡연</x:v>
      </x:c>
      <x:c r="K83" s="2" t="str">
        <x:v>없음</x:v>
      </x:c>
      <x:c r="L83" s="2" t="str">
        <x:v>없음</x:v>
      </x:c>
      <x:c r="M83" s="2" t="str">
        <x:v>수호천사 행복 연금보험</x:v>
      </x:c>
      <x:c r="N83" s="2" t="str">
        <x:f>VLOOKUP(M83,'분류기준'!$A$5:$B$8,2,FALSE)</x:f>
        <x:v>연금보험</x:v>
      </x:c>
      <x:c r="O83" s="2" t="str">
        <x:v>특약 없음</x:v>
      </x:c>
      <x:c r="P83" s="2" t="str">
        <x:f>IF(O83="선택 안함","선택 안함",IF(O83="특약 없음","특약 없음","가입"))</x:f>
        <x:v>특약 없음</x:v>
      </x:c>
      <x:c r="Q83" s="2" t="str">
        <x:f>IF(P83="가입","가입","미가입")</x:f>
        <x:v>미가입</x:v>
      </x:c>
    </x:row>
    <x:row r="84" ht="23" customHeight="1">
      <x:c r="A84" s="2" t="str">
        <x:v>C0145</x:v>
      </x:c>
      <x:c r="B84" s="7" t="n">
        <x:v>23</x:v>
      </x:c>
      <x:c r="C84" s="2" t="str">
        <x:f>INT(B84/10)*10&amp;"대"</x:f>
        <x:v>20대</x:v>
      </x:c>
      <x:c r="D84" s="2" t="str">
        <x:v>남성</x:v>
      </x:c>
      <x:c r="E84" s="7" t="n">
        <x:v>3000</x:v>
      </x:c>
      <x:c r="F84" s="7" t="n">
        <x:v>2</x:v>
      </x:c>
      <x:c r="G84" s="2" t="str">
        <x:v>기혼</x:v>
      </x:c>
      <x:c r="H84" s="7" t="n">
        <x:v>0</x:v>
      </x:c>
      <x:c r="I84" s="2" t="str">
        <x:f>IF(H84&lt;3,H84&amp;"명","3명 이상")</x:f>
        <x:v>0명</x:v>
      </x:c>
      <x:c r="J84" s="2" t="str">
        <x:v>비흡연</x:v>
      </x:c>
      <x:c r="K84" s="2" t="str">
        <x:v>없음</x:v>
      </x:c>
      <x:c r="L84" s="2" t="str">
        <x:v>없음</x:v>
      </x:c>
      <x:c r="M84" s="2" t="str">
        <x:v>수호천사 간편심사(유병자)보험</x:v>
      </x:c>
      <x:c r="N84" s="2" t="str">
        <x:f>VLOOKUP(M84,'분류기준'!$A$5:$B$8,2,FALSE)</x:f>
        <x:v>간편심사보험</x:v>
      </x:c>
      <x:c r="O84" s="2" t="str">
        <x:v>중증질환 산정특례 보장 특약</x:v>
      </x:c>
      <x:c r="P84" s="2" t="str">
        <x:f>IF(O84="선택 안함","선택 안함",IF(O84="특약 없음","특약 없음","가입"))</x:f>
        <x:v>가입</x:v>
      </x:c>
      <x:c r="Q84" s="2" t="str">
        <x:f>IF(P84="가입","가입","미가입")</x:f>
        <x:v>가입</x:v>
      </x:c>
    </x:row>
    <x:row r="85" ht="23" customHeight="1">
      <x:c r="A85" s="2" t="str">
        <x:v>C0216</x:v>
      </x:c>
      <x:c r="B85" s="7" t="n">
        <x:v>23</x:v>
      </x:c>
      <x:c r="C85" s="2" t="str">
        <x:f>INT(B85/10)*10&amp;"대"</x:f>
        <x:v>20대</x:v>
      </x:c>
      <x:c r="D85" s="2" t="str">
        <x:v>여성</x:v>
      </x:c>
      <x:c r="E85" s="7" t="n">
        <x:v>5000</x:v>
      </x:c>
      <x:c r="F85" s="7" t="n">
        <x:v>1</x:v>
      </x:c>
      <x:c r="G85" s="2" t="str">
        <x:v>미혼</x:v>
      </x:c>
      <x:c r="H85" s="7" t="n">
        <x:v>0</x:v>
      </x:c>
      <x:c r="I85" s="2" t="str">
        <x:f>IF(H85&lt;3,H85&amp;"명","3명 이상")</x:f>
        <x:v>0명</x:v>
      </x:c>
      <x:c r="J85" s="2" t="str">
        <x:v>비흡연</x:v>
      </x:c>
      <x:c r="K85" s="2" t="str">
        <x:v>없음</x:v>
      </x:c>
      <x:c r="L85" s="2" t="str">
        <x:v>심혈관</x:v>
      </x:c>
      <x:c r="M85" s="2" t="str">
        <x:v>수호천사 간편심사(유병자)보험</x:v>
      </x:c>
      <x:c r="N85" s="2" t="str">
        <x:f>VLOOKUP(M85,'분류기준'!$A$5:$B$8,2,FALSE)</x:f>
        <x:v>간편심사보험</x:v>
      </x:c>
      <x:c r="O85" s="2" t="str">
        <x:v>중증질환 산정특례 보장 특약</x:v>
      </x:c>
      <x:c r="P85" s="2" t="str">
        <x:f>IF(O85="선택 안함","선택 안함",IF(O85="특약 없음","특약 없음","가입"))</x:f>
        <x:v>가입</x:v>
      </x:c>
      <x:c r="Q85" s="2" t="str">
        <x:f>IF(P85="가입","가입","미가입")</x:f>
        <x:v>가입</x:v>
      </x:c>
    </x:row>
    <x:row r="86" ht="23" customHeight="1">
      <x:c r="A86" s="2" t="str">
        <x:v>C0296</x:v>
      </x:c>
      <x:c r="B86" s="7" t="n">
        <x:v>23</x:v>
      </x:c>
      <x:c r="C86" s="2" t="str">
        <x:f>INT(B86/10)*10&amp;"대"</x:f>
        <x:v>20대</x:v>
      </x:c>
      <x:c r="D86" s="2" t="str">
        <x:v>남성</x:v>
      </x:c>
      <x:c r="E86" s="7" t="n">
        <x:v>6000</x:v>
      </x:c>
      <x:c r="F86" s="7" t="n">
        <x:v>1</x:v>
      </x:c>
      <x:c r="G86" s="2" t="str">
        <x:v>미혼</x:v>
      </x:c>
      <x:c r="H86" s="7" t="n">
        <x:v>0</x:v>
      </x:c>
      <x:c r="I86" s="2" t="str">
        <x:f>IF(H86&lt;3,H86&amp;"명","3명 이상")</x:f>
        <x:v>0명</x:v>
      </x:c>
      <x:c r="J86" s="2" t="str">
        <x:v>비흡연</x:v>
      </x:c>
      <x:c r="K86" s="2" t="str">
        <x:v>없음</x:v>
      </x:c>
      <x:c r="L86" s="2" t="str">
        <x:v>암</x:v>
      </x:c>
      <x:c r="M86" s="2" t="str">
        <x:v>수호천사 행복 연금보험</x:v>
      </x:c>
      <x:c r="N86" s="2" t="str">
        <x:f>VLOOKUP(M86,'분류기준'!$A$5:$B$8,2,FALSE)</x:f>
        <x:v>연금보험</x:v>
      </x:c>
      <x:c r="O86" s="2" t="str">
        <x:v>특약 없음</x:v>
      </x:c>
      <x:c r="P86" s="2" t="str">
        <x:f>IF(O86="선택 안함","선택 안함",IF(O86="특약 없음","특약 없음","가입"))</x:f>
        <x:v>특약 없음</x:v>
      </x:c>
      <x:c r="Q86" s="2" t="str">
        <x:f>IF(P86="가입","가입","미가입")</x:f>
        <x:v>미가입</x:v>
      </x:c>
    </x:row>
    <x:row r="87" ht="23" customHeight="1">
      <x:c r="A87" s="2" t="str">
        <x:v>C0325</x:v>
      </x:c>
      <x:c r="B87" s="7" t="n">
        <x:v>23</x:v>
      </x:c>
      <x:c r="C87" s="2" t="str">
        <x:f>INT(B87/10)*10&amp;"대"</x:f>
        <x:v>20대</x:v>
      </x:c>
      <x:c r="D87" s="2" t="str">
        <x:v>남성</x:v>
      </x:c>
      <x:c r="E87" s="7" t="n">
        <x:v>5000</x:v>
      </x:c>
      <x:c r="F87" s="7" t="n">
        <x:v>1</x:v>
      </x:c>
      <x:c r="G87" s="2" t="str">
        <x:v>미혼</x:v>
      </x:c>
      <x:c r="H87" s="7" t="n">
        <x:v>0</x:v>
      </x:c>
      <x:c r="I87" s="2" t="str">
        <x:f>IF(H87&lt;3,H87&amp;"명","3명 이상")</x:f>
        <x:v>0명</x:v>
      </x:c>
      <x:c r="J87" s="2" t="str">
        <x:v>비흡연</x:v>
      </x:c>
      <x:c r="K87" s="2" t="str">
        <x:v>없음</x:v>
      </x:c>
      <x:c r="L87" s="2" t="str">
        <x:v>없음</x:v>
      </x:c>
      <x:c r="M87" s="2" t="str">
        <x:v>수호천사 행복 연금보험</x:v>
      </x:c>
      <x:c r="N87" s="2" t="str">
        <x:f>VLOOKUP(M87,'분류기준'!$A$5:$B$8,2,FALSE)</x:f>
        <x:v>연금보험</x:v>
      </x:c>
      <x:c r="O87" s="2" t="str">
        <x:v>특약 없음</x:v>
      </x:c>
      <x:c r="P87" s="2" t="str">
        <x:f>IF(O87="선택 안함","선택 안함",IF(O87="특약 없음","특약 없음","가입"))</x:f>
        <x:v>특약 없음</x:v>
      </x:c>
      <x:c r="Q87" s="2" t="str">
        <x:f>IF(P87="가입","가입","미가입")</x:f>
        <x:v>미가입</x:v>
      </x:c>
    </x:row>
    <x:row r="88" ht="23" customHeight="1">
      <x:c r="A88" s="2" t="str">
        <x:v>C0409</x:v>
      </x:c>
      <x:c r="B88" s="7" t="n">
        <x:v>23</x:v>
      </x:c>
      <x:c r="C88" s="2" t="str">
        <x:f>INT(B88/10)*10&amp;"대"</x:f>
        <x:v>20대</x:v>
      </x:c>
      <x:c r="D88" s="2" t="str">
        <x:v>여성</x:v>
      </x:c>
      <x:c r="E88" s="7" t="n">
        <x:v>6000</x:v>
      </x:c>
      <x:c r="F88" s="7" t="n">
        <x:v>1</x:v>
      </x:c>
      <x:c r="G88" s="2" t="str">
        <x:v>기혼</x:v>
      </x:c>
      <x:c r="H88" s="7" t="n">
        <x:v>0</x:v>
      </x:c>
      <x:c r="I88" s="2" t="str">
        <x:f>IF(H88&lt;3,H88&amp;"명","3명 이상")</x:f>
        <x:v>0명</x:v>
      </x:c>
      <x:c r="J88" s="2" t="str">
        <x:v>흡연</x:v>
      </x:c>
      <x:c r="K88" s="2" t="str">
        <x:v>없음</x:v>
      </x:c>
      <x:c r="L88" s="2" t="str">
        <x:v>없음</x:v>
      </x:c>
      <x:c r="M88" s="2" t="str">
        <x:v>수호천사 암/건강보험</x:v>
      </x:c>
      <x:c r="N88" s="2" t="str">
        <x:f>VLOOKUP(M88,'분류기준'!$A$5:$B$8,2,FALSE)</x:f>
        <x:v>암/건강보험</x:v>
      </x:c>
      <x:c r="O88" s="2" t="str">
        <x:v>선택 안함</x:v>
      </x:c>
      <x:c r="P88" s="2" t="str">
        <x:f>IF(O88="선택 안함","선택 안함",IF(O88="특약 없음","특약 없음","가입"))</x:f>
        <x:v>선택 안함</x:v>
      </x:c>
      <x:c r="Q88" s="2" t="str">
        <x:f>IF(P88="가입","가입","미가입")</x:f>
        <x:v>미가입</x:v>
      </x:c>
    </x:row>
    <x:row r="89" ht="23" customHeight="1">
      <x:c r="A89" s="2" t="str">
        <x:v>C0478</x:v>
      </x:c>
      <x:c r="B89" s="7" t="n">
        <x:v>23</x:v>
      </x:c>
      <x:c r="C89" s="2" t="str">
        <x:f>INT(B89/10)*10&amp;"대"</x:f>
        <x:v>20대</x:v>
      </x:c>
      <x:c r="D89" s="2" t="str">
        <x:v>남성</x:v>
      </x:c>
      <x:c r="E89" s="7" t="n">
        <x:v>7500</x:v>
      </x:c>
      <x:c r="F89" s="7" t="n">
        <x:v>2</x:v>
      </x:c>
      <x:c r="G89" s="2" t="str">
        <x:v>미혼</x:v>
      </x:c>
      <x:c r="H89" s="7" t="n">
        <x:v>0</x:v>
      </x:c>
      <x:c r="I89" s="2" t="str">
        <x:f>IF(H89&lt;3,H89&amp;"명","3명 이상")</x:f>
        <x:v>0명</x:v>
      </x:c>
      <x:c r="J89" s="2" t="str">
        <x:v>비흡연</x:v>
      </x:c>
      <x:c r="K89" s="2" t="str">
        <x:v>없음</x:v>
      </x:c>
      <x:c r="L89" s="2" t="str">
        <x:v>없음</x:v>
      </x:c>
      <x:c r="M89" s="2" t="str">
        <x:v>수호천사 행복 연금보험</x:v>
      </x:c>
      <x:c r="N89" s="2" t="str">
        <x:f>VLOOKUP(M89,'분류기준'!$A$5:$B$8,2,FALSE)</x:f>
        <x:v>연금보험</x:v>
      </x:c>
      <x:c r="O89" s="2" t="str">
        <x:v>특약 없음</x:v>
      </x:c>
      <x:c r="P89" s="2" t="str">
        <x:f>IF(O89="선택 안함","선택 안함",IF(O89="특약 없음","특약 없음","가입"))</x:f>
        <x:v>특약 없음</x:v>
      </x:c>
      <x:c r="Q89" s="2" t="str">
        <x:f>IF(P89="가입","가입","미가입")</x:f>
        <x:v>미가입</x:v>
      </x:c>
    </x:row>
    <x:row r="90" ht="23" customHeight="1">
      <x:c r="A90" s="2" t="str">
        <x:v>C0520</x:v>
      </x:c>
      <x:c r="B90" s="7" t="n">
        <x:v>23</x:v>
      </x:c>
      <x:c r="C90" s="2" t="str">
        <x:f>INT(B90/10)*10&amp;"대"</x:f>
        <x:v>20대</x:v>
      </x:c>
      <x:c r="D90" s="2" t="str">
        <x:v>남성</x:v>
      </x:c>
      <x:c r="E90" s="7" t="n">
        <x:v>4000</x:v>
      </x:c>
      <x:c r="F90" s="7" t="n">
        <x:v>1</x:v>
      </x:c>
      <x:c r="G90" s="2" t="str">
        <x:v>미혼</x:v>
      </x:c>
      <x:c r="H90" s="7" t="n">
        <x:v>0</x:v>
      </x:c>
      <x:c r="I90" s="2" t="str">
        <x:f>IF(H90&lt;3,H90&amp;"명","3명 이상")</x:f>
        <x:v>0명</x:v>
      </x:c>
      <x:c r="J90" s="2" t="str">
        <x:v>비흡연</x:v>
      </x:c>
      <x:c r="K90" s="2" t="str">
        <x:v>없음</x:v>
      </x:c>
      <x:c r="L90" s="2" t="str">
        <x:v>없음</x:v>
      </x:c>
      <x:c r="M90" s="2" t="str">
        <x:v>수호천사 행복 연금보험</x:v>
      </x:c>
      <x:c r="N90" s="2" t="str">
        <x:f>VLOOKUP(M90,'분류기준'!$A$5:$B$8,2,FALSE)</x:f>
        <x:v>연금보험</x:v>
      </x:c>
      <x:c r="O90" s="2" t="str">
        <x:v>특약 없음</x:v>
      </x:c>
      <x:c r="P90" s="2" t="str">
        <x:f>IF(O90="선택 안함","선택 안함",IF(O90="특약 없음","특약 없음","가입"))</x:f>
        <x:v>특약 없음</x:v>
      </x:c>
      <x:c r="Q90" s="2" t="str">
        <x:f>IF(P90="가입","가입","미가입")</x:f>
        <x:v>미가입</x:v>
      </x:c>
    </x:row>
    <x:row r="91" ht="23" customHeight="1">
      <x:c r="A91" s="2" t="str">
        <x:v>C0615</x:v>
      </x:c>
      <x:c r="B91" s="7" t="n">
        <x:v>23</x:v>
      </x:c>
      <x:c r="C91" s="2" t="str">
        <x:f>INT(B91/10)*10&amp;"대"</x:f>
        <x:v>20대</x:v>
      </x:c>
      <x:c r="D91" s="2" t="str">
        <x:v>남성</x:v>
      </x:c>
      <x:c r="E91" s="7" t="n">
        <x:v>3000</x:v>
      </x:c>
      <x:c r="F91" s="7" t="n">
        <x:v>1</x:v>
      </x:c>
      <x:c r="G91" s="2" t="str">
        <x:v>미혼</x:v>
      </x:c>
      <x:c r="H91" s="7" t="n">
        <x:v>0</x:v>
      </x:c>
      <x:c r="I91" s="2" t="str">
        <x:f>IF(H91&lt;3,H91&amp;"명","3명 이상")</x:f>
        <x:v>0명</x:v>
      </x:c>
      <x:c r="J91" s="2" t="str">
        <x:v>비흡연</x:v>
      </x:c>
      <x:c r="K91" s="2" t="str">
        <x:v>없음</x:v>
      </x:c>
      <x:c r="L91" s="2" t="str">
        <x:v>암</x:v>
      </x:c>
      <x:c r="M91" s="2" t="str">
        <x:v>수호천사 암/건강보험</x:v>
      </x:c>
      <x:c r="N91" s="2" t="str">
        <x:f>VLOOKUP(M91,'분류기준'!$A$5:$B$8,2,FALSE)</x:f>
        <x:v>암/건강보험</x:v>
      </x:c>
      <x:c r="O91" s="2" t="str">
        <x:v>수술비 보장 특약</x:v>
      </x:c>
      <x:c r="P91" s="2" t="str">
        <x:f>IF(O91="선택 안함","선택 안함",IF(O91="특약 없음","특약 없음","가입"))</x:f>
        <x:v>가입</x:v>
      </x:c>
      <x:c r="Q91" s="2" t="str">
        <x:f>IF(P91="가입","가입","미가입")</x:f>
        <x:v>가입</x:v>
      </x:c>
    </x:row>
    <x:row r="92" ht="23" customHeight="1">
      <x:c r="A92" s="2" t="str">
        <x:v>C0745</x:v>
      </x:c>
      <x:c r="B92" s="7" t="n">
        <x:v>23</x:v>
      </x:c>
      <x:c r="C92" s="2" t="str">
        <x:f>INT(B92/10)*10&amp;"대"</x:f>
        <x:v>20대</x:v>
      </x:c>
      <x:c r="D92" s="2" t="str">
        <x:v>여성</x:v>
      </x:c>
      <x:c r="E92" s="7" t="n">
        <x:v>7500</x:v>
      </x:c>
      <x:c r="F92" s="7" t="n">
        <x:v>1</x:v>
      </x:c>
      <x:c r="G92" s="2" t="str">
        <x:v>미혼</x:v>
      </x:c>
      <x:c r="H92" s="7" t="n">
        <x:v>0</x:v>
      </x:c>
      <x:c r="I92" s="2" t="str">
        <x:f>IF(H92&lt;3,H92&amp;"명","3명 이상")</x:f>
        <x:v>0명</x:v>
      </x:c>
      <x:c r="J92" s="2" t="str">
        <x:v>비흡연</x:v>
      </x:c>
      <x:c r="K92" s="2" t="str">
        <x:v>없음</x:v>
      </x:c>
      <x:c r="L92" s="2" t="str">
        <x:v>심혈관</x:v>
      </x:c>
      <x:c r="M92" s="2" t="str">
        <x:v>수호천사 암/건강보험</x:v>
      </x:c>
      <x:c r="N92" s="2" t="str">
        <x:f>VLOOKUP(M92,'분류기준'!$A$5:$B$8,2,FALSE)</x:f>
        <x:v>암/건강보험</x:v>
      </x:c>
      <x:c r="O92" s="2" t="str">
        <x:v>수술비 보장 특약</x:v>
      </x:c>
      <x:c r="P92" s="2" t="str">
        <x:f>IF(O92="선택 안함","선택 안함",IF(O92="특약 없음","특약 없음","가입"))</x:f>
        <x:v>가입</x:v>
      </x:c>
      <x:c r="Q92" s="2" t="str">
        <x:f>IF(P92="가입","가입","미가입")</x:f>
        <x:v>가입</x:v>
      </x:c>
    </x:row>
    <x:row r="93" ht="23" customHeight="1">
      <x:c r="A93" s="2" t="str">
        <x:v>C0790</x:v>
      </x:c>
      <x:c r="B93" s="7" t="n">
        <x:v>23</x:v>
      </x:c>
      <x:c r="C93" s="2" t="str">
        <x:f>INT(B93/10)*10&amp;"대"</x:f>
        <x:v>20대</x:v>
      </x:c>
      <x:c r="D93" s="2" t="str">
        <x:v>여성</x:v>
      </x:c>
      <x:c r="E93" s="7" t="n">
        <x:v>3000</x:v>
      </x:c>
      <x:c r="F93" s="7" t="n">
        <x:v>1</x:v>
      </x:c>
      <x:c r="G93" s="2" t="str">
        <x:v>미혼</x:v>
      </x:c>
      <x:c r="H93" s="7" t="n">
        <x:v>0</x:v>
      </x:c>
      <x:c r="I93" s="2" t="str">
        <x:f>IF(H93&lt;3,H93&amp;"명","3명 이상")</x:f>
        <x:v>0명</x:v>
      </x:c>
      <x:c r="J93" s="2" t="str">
        <x:v>비흡연</x:v>
      </x:c>
      <x:c r="K93" s="2" t="str">
        <x:v>당뇨</x:v>
      </x:c>
      <x:c r="L93" s="2" t="str">
        <x:v>심혈관</x:v>
      </x:c>
      <x:c r="M93" s="2" t="str">
        <x:v>수호천사 암/건강보험</x:v>
      </x:c>
      <x:c r="N93" s="2" t="str">
        <x:f>VLOOKUP(M93,'분류기준'!$A$5:$B$8,2,FALSE)</x:f>
        <x:v>암/건강보험</x:v>
      </x:c>
      <x:c r="O93" s="2" t="str">
        <x:v>표적항암약물허가치료 특약</x:v>
      </x:c>
      <x:c r="P93" s="2" t="str">
        <x:f>IF(O93="선택 안함","선택 안함",IF(O93="특약 없음","특약 없음","가입"))</x:f>
        <x:v>가입</x:v>
      </x:c>
      <x:c r="Q93" s="2" t="str">
        <x:f>IF(P93="가입","가입","미가입")</x:f>
        <x:v>가입</x:v>
      </x:c>
    </x:row>
    <x:row r="94" ht="23" customHeight="1">
      <x:c r="A94" s="2" t="str">
        <x:v>C0811</x:v>
      </x:c>
      <x:c r="B94" s="7" t="n">
        <x:v>23</x:v>
      </x:c>
      <x:c r="C94" s="2" t="str">
        <x:f>INT(B94/10)*10&amp;"대"</x:f>
        <x:v>20대</x:v>
      </x:c>
      <x:c r="D94" s="2" t="str">
        <x:v>여성</x:v>
      </x:c>
      <x:c r="E94" s="7" t="n">
        <x:v>3000</x:v>
      </x:c>
      <x:c r="F94" s="7" t="n">
        <x:v>1</x:v>
      </x:c>
      <x:c r="G94" s="2" t="str">
        <x:v>미혼</x:v>
      </x:c>
      <x:c r="H94" s="7" t="n">
        <x:v>0</x:v>
      </x:c>
      <x:c r="I94" s="2" t="str">
        <x:f>IF(H94&lt;3,H94&amp;"명","3명 이상")</x:f>
        <x:v>0명</x:v>
      </x:c>
      <x:c r="J94" s="2" t="str">
        <x:v>흡연</x:v>
      </x:c>
      <x:c r="K94" s="2" t="str">
        <x:v>없음</x:v>
      </x:c>
      <x:c r="L94" s="2" t="str">
        <x:v>없음</x:v>
      </x:c>
      <x:c r="M94" s="2" t="str">
        <x:v>수호천사 우리가족 종신보험</x:v>
      </x:c>
      <x:c r="N94" s="2" t="str">
        <x:f>VLOOKUP(M94,'분류기준'!$A$5:$B$8,2,FALSE)</x:f>
        <x:v>종신보험</x:v>
      </x:c>
      <x:c r="O94" s="2" t="str">
        <x:v>선택 안함</x:v>
      </x:c>
      <x:c r="P94" s="2" t="str">
        <x:f>IF(O94="선택 안함","선택 안함",IF(O94="특약 없음","특약 없음","가입"))</x:f>
        <x:v>선택 안함</x:v>
      </x:c>
      <x:c r="Q94" s="2" t="str">
        <x:f>IF(P94="가입","가입","미가입")</x:f>
        <x:v>미가입</x:v>
      </x:c>
    </x:row>
    <x:row r="95" ht="23" customHeight="1">
      <x:c r="A95" s="2" t="str">
        <x:v>C0813</x:v>
      </x:c>
      <x:c r="B95" s="7" t="n">
        <x:v>23</x:v>
      </x:c>
      <x:c r="C95" s="2" t="str">
        <x:f>INT(B95/10)*10&amp;"대"</x:f>
        <x:v>20대</x:v>
      </x:c>
      <x:c r="D95" s="2" t="str">
        <x:v>여성</x:v>
      </x:c>
      <x:c r="E95" s="7" t="n">
        <x:v>5000</x:v>
      </x:c>
      <x:c r="F95" s="7" t="n">
        <x:v>2</x:v>
      </x:c>
      <x:c r="G95" s="2" t="str">
        <x:v>미혼</x:v>
      </x:c>
      <x:c r="H95" s="7" t="n">
        <x:v>0</x:v>
      </x:c>
      <x:c r="I95" s="2" t="str">
        <x:f>IF(H95&lt;3,H95&amp;"명","3명 이상")</x:f>
        <x:v>0명</x:v>
      </x:c>
      <x:c r="J95" s="2" t="str">
        <x:v>흡연</x:v>
      </x:c>
      <x:c r="K95" s="2" t="str">
        <x:v>없음</x:v>
      </x:c>
      <x:c r="L95" s="2" t="str">
        <x:v>없음</x:v>
      </x:c>
      <x:c r="M95" s="2" t="str">
        <x:v>수호천사 암/건강보험</x:v>
      </x:c>
      <x:c r="N95" s="2" t="str">
        <x:f>VLOOKUP(M95,'분류기준'!$A$5:$B$8,2,FALSE)</x:f>
        <x:v>암/건강보험</x:v>
      </x:c>
      <x:c r="O95" s="2" t="str">
        <x:v>수술비 보장 특약</x:v>
      </x:c>
      <x:c r="P95" s="2" t="str">
        <x:f>IF(O95="선택 안함","선택 안함",IF(O95="특약 없음","특약 없음","가입"))</x:f>
        <x:v>가입</x:v>
      </x:c>
      <x:c r="Q95" s="2" t="str">
        <x:f>IF(P95="가입","가입","미가입")</x:f>
        <x:v>가입</x:v>
      </x:c>
    </x:row>
    <x:row r="96" ht="23" customHeight="1">
      <x:c r="A96" s="2" t="str">
        <x:v>C0889</x:v>
      </x:c>
      <x:c r="B96" s="7" t="n">
        <x:v>23</x:v>
      </x:c>
      <x:c r="C96" s="2" t="str">
        <x:f>INT(B96/10)*10&amp;"대"</x:f>
        <x:v>20대</x:v>
      </x:c>
      <x:c r="D96" s="2" t="str">
        <x:v>여성</x:v>
      </x:c>
      <x:c r="E96" s="7" t="n">
        <x:v>4000</x:v>
      </x:c>
      <x:c r="F96" s="7" t="n">
        <x:v>2</x:v>
      </x:c>
      <x:c r="G96" s="2" t="str">
        <x:v>미혼</x:v>
      </x:c>
      <x:c r="H96" s="7" t="n">
        <x:v>0</x:v>
      </x:c>
      <x:c r="I96" s="2" t="str">
        <x:f>IF(H96&lt;3,H96&amp;"명","3명 이상")</x:f>
        <x:v>0명</x:v>
      </x:c>
      <x:c r="J96" s="2" t="str">
        <x:v>흡연</x:v>
      </x:c>
      <x:c r="K96" s="2" t="str">
        <x:v>없음</x:v>
      </x:c>
      <x:c r="L96" s="2" t="str">
        <x:v>없음</x:v>
      </x:c>
      <x:c r="M96" s="2" t="str">
        <x:v>수호천사 간편심사(유병자)보험</x:v>
      </x:c>
      <x:c r="N96" s="2" t="str">
        <x:f>VLOOKUP(M96,'분류기준'!$A$5:$B$8,2,FALSE)</x:f>
        <x:v>간편심사보험</x:v>
      </x:c>
      <x:c r="O96" s="2" t="str">
        <x:v>중증질환 산정특례 보장 특약</x:v>
      </x:c>
      <x:c r="P96" s="2" t="str">
        <x:f>IF(O96="선택 안함","선택 안함",IF(O96="특약 없음","특약 없음","가입"))</x:f>
        <x:v>가입</x:v>
      </x:c>
      <x:c r="Q96" s="2" t="str">
        <x:f>IF(P96="가입","가입","미가입")</x:f>
        <x:v>가입</x:v>
      </x:c>
    </x:row>
    <x:row r="97" ht="23" customHeight="1">
      <x:c r="A97" s="2" t="str">
        <x:v>C0916</x:v>
      </x:c>
      <x:c r="B97" s="7" t="n">
        <x:v>23</x:v>
      </x:c>
      <x:c r="C97" s="2" t="str">
        <x:f>INT(B97/10)*10&amp;"대"</x:f>
        <x:v>20대</x:v>
      </x:c>
      <x:c r="D97" s="2" t="str">
        <x:v>여성</x:v>
      </x:c>
      <x:c r="E97" s="7" t="n">
        <x:v>6000</x:v>
      </x:c>
      <x:c r="F97" s="7" t="n">
        <x:v>1</x:v>
      </x:c>
      <x:c r="G97" s="2" t="str">
        <x:v>미혼</x:v>
      </x:c>
      <x:c r="H97" s="7" t="n">
        <x:v>0</x:v>
      </x:c>
      <x:c r="I97" s="2" t="str">
        <x:f>IF(H97&lt;3,H97&amp;"명","3명 이상")</x:f>
        <x:v>0명</x:v>
      </x:c>
      <x:c r="J97" s="2" t="str">
        <x:v>비흡연</x:v>
      </x:c>
      <x:c r="K97" s="2" t="str">
        <x:v>없음</x:v>
      </x:c>
      <x:c r="L97" s="2" t="str">
        <x:v>없음</x:v>
      </x:c>
      <x:c r="M97" s="2" t="str">
        <x:v>수호천사 행복 연금보험</x:v>
      </x:c>
      <x:c r="N97" s="2" t="str">
        <x:f>VLOOKUP(M97,'분류기준'!$A$5:$B$8,2,FALSE)</x:f>
        <x:v>연금보험</x:v>
      </x:c>
      <x:c r="O97" s="2" t="str">
        <x:v>특약 없음</x:v>
      </x:c>
      <x:c r="P97" s="2" t="str">
        <x:f>IF(O97="선택 안함","선택 안함",IF(O97="특약 없음","특약 없음","가입"))</x:f>
        <x:v>특약 없음</x:v>
      </x:c>
      <x:c r="Q97" s="2" t="str">
        <x:f>IF(P97="가입","가입","미가입")</x:f>
        <x:v>미가입</x:v>
      </x:c>
    </x:row>
    <x:row r="98" ht="23" customHeight="1">
      <x:c r="A98" s="2" t="str">
        <x:v>C0935</x:v>
      </x:c>
      <x:c r="B98" s="7" t="n">
        <x:v>23</x:v>
      </x:c>
      <x:c r="C98" s="2" t="str">
        <x:f>INT(B98/10)*10&amp;"대"</x:f>
        <x:v>20대</x:v>
      </x:c>
      <x:c r="D98" s="2" t="str">
        <x:v>여성</x:v>
      </x:c>
      <x:c r="E98" s="7" t="n">
        <x:v>6000</x:v>
      </x:c>
      <x:c r="F98" s="7" t="n">
        <x:v>1</x:v>
      </x:c>
      <x:c r="G98" s="2" t="str">
        <x:v>미혼</x:v>
      </x:c>
      <x:c r="H98" s="7" t="n">
        <x:v>0</x:v>
      </x:c>
      <x:c r="I98" s="2" t="str">
        <x:f>IF(H98&lt;3,H98&amp;"명","3명 이상")</x:f>
        <x:v>0명</x:v>
      </x:c>
      <x:c r="J98" s="2" t="str">
        <x:v>비흡연</x:v>
      </x:c>
      <x:c r="K98" s="2" t="str">
        <x:v>없음</x:v>
      </x:c>
      <x:c r="L98" s="2" t="str">
        <x:v>없음</x:v>
      </x:c>
      <x:c r="M98" s="2" t="str">
        <x:v>수호천사 행복 연금보험</x:v>
      </x:c>
      <x:c r="N98" s="2" t="str">
        <x:f>VLOOKUP(M98,'분류기준'!$A$5:$B$8,2,FALSE)</x:f>
        <x:v>연금보험</x:v>
      </x:c>
      <x:c r="O98" s="2" t="str">
        <x:v>특약 없음</x:v>
      </x:c>
      <x:c r="P98" s="2" t="str">
        <x:f>IF(O98="선택 안함","선택 안함",IF(O98="특약 없음","특약 없음","가입"))</x:f>
        <x:v>특약 없음</x:v>
      </x:c>
      <x:c r="Q98" s="2" t="str">
        <x:f>IF(P98="가입","가입","미가입")</x:f>
        <x:v>미가입</x:v>
      </x:c>
    </x:row>
    <x:row r="99" ht="23" customHeight="1">
      <x:c r="A99" s="2" t="str">
        <x:v>C0950</x:v>
      </x:c>
      <x:c r="B99" s="7" t="n">
        <x:v>23</x:v>
      </x:c>
      <x:c r="C99" s="2" t="str">
        <x:f>INT(B99/10)*10&amp;"대"</x:f>
        <x:v>20대</x:v>
      </x:c>
      <x:c r="D99" s="2" t="str">
        <x:v>여성</x:v>
      </x:c>
      <x:c r="E99" s="7" t="n">
        <x:v>5000</x:v>
      </x:c>
      <x:c r="F99" s="7" t="n">
        <x:v>2</x:v>
      </x:c>
      <x:c r="G99" s="2" t="str">
        <x:v>미혼</x:v>
      </x:c>
      <x:c r="H99" s="7" t="n">
        <x:v>0</x:v>
      </x:c>
      <x:c r="I99" s="2" t="str">
        <x:f>IF(H99&lt;3,H99&amp;"명","3명 이상")</x:f>
        <x:v>0명</x:v>
      </x:c>
      <x:c r="J99" s="2" t="str">
        <x:v>비흡연</x:v>
      </x:c>
      <x:c r="K99" s="2" t="str">
        <x:v>없음</x:v>
      </x:c>
      <x:c r="L99" s="2" t="str">
        <x:v>암</x:v>
      </x:c>
      <x:c r="M99" s="2" t="str">
        <x:v>수호천사 행복 연금보험</x:v>
      </x:c>
      <x:c r="N99" s="2" t="str">
        <x:f>VLOOKUP(M99,'분류기준'!$A$5:$B$8,2,FALSE)</x:f>
        <x:v>연금보험</x:v>
      </x:c>
      <x:c r="O99" s="2" t="str">
        <x:v>특약 없음</x:v>
      </x:c>
      <x:c r="P99" s="2" t="str">
        <x:f>IF(O99="선택 안함","선택 안함",IF(O99="특약 없음","특약 없음","가입"))</x:f>
        <x:v>특약 없음</x:v>
      </x:c>
      <x:c r="Q99" s="2" t="str">
        <x:f>IF(P99="가입","가입","미가입")</x:f>
        <x:v>미가입</x:v>
      </x:c>
    </x:row>
    <x:row r="100" ht="23" customHeight="1">
      <x:c r="A100" s="2" t="str">
        <x:v>C0105</x:v>
      </x:c>
      <x:c r="B100" s="7" t="n">
        <x:v>24</x:v>
      </x:c>
      <x:c r="C100" s="2" t="str">
        <x:f>INT(B100/10)*10&amp;"대"</x:f>
        <x:v>20대</x:v>
      </x:c>
      <x:c r="D100" s="2" t="str">
        <x:v>남성</x:v>
      </x:c>
      <x:c r="E100" s="7" t="n">
        <x:v>4000</x:v>
      </x:c>
      <x:c r="F100" s="7" t="n">
        <x:v>1</x:v>
      </x:c>
      <x:c r="G100" s="2" t="str">
        <x:v>미혼</x:v>
      </x:c>
      <x:c r="H100" s="7" t="n">
        <x:v>0</x:v>
      </x:c>
      <x:c r="I100" s="2" t="str">
        <x:f>IF(H100&lt;3,H100&amp;"명","3명 이상")</x:f>
        <x:v>0명</x:v>
      </x:c>
      <x:c r="J100" s="2" t="str">
        <x:v>비흡연</x:v>
      </x:c>
      <x:c r="K100" s="2" t="str">
        <x:v>없음</x:v>
      </x:c>
      <x:c r="L100" s="2" t="str">
        <x:v>없음</x:v>
      </x:c>
      <x:c r="M100" s="2" t="str">
        <x:v>수호천사 암/건강보험</x:v>
      </x:c>
      <x:c r="N100" s="2" t="str">
        <x:f>VLOOKUP(M100,'분류기준'!$A$5:$B$8,2,FALSE)</x:f>
        <x:v>암/건강보험</x:v>
      </x:c>
      <x:c r="O100" s="2" t="str">
        <x:v>수술비 보장 특약</x:v>
      </x:c>
      <x:c r="P100" s="2" t="str">
        <x:f>IF(O100="선택 안함","선택 안함",IF(O100="특약 없음","특약 없음","가입"))</x:f>
        <x:v>가입</x:v>
      </x:c>
      <x:c r="Q100" s="2" t="str">
        <x:f>IF(P100="가입","가입","미가입")</x:f>
        <x:v>가입</x:v>
      </x:c>
    </x:row>
    <x:row r="101" ht="23" customHeight="1">
      <x:c r="A101" s="2" t="str">
        <x:v>C0131</x:v>
      </x:c>
      <x:c r="B101" s="7" t="n">
        <x:v>24</x:v>
      </x:c>
      <x:c r="C101" s="2" t="str">
        <x:f>INT(B101/10)*10&amp;"대"</x:f>
        <x:v>20대</x:v>
      </x:c>
      <x:c r="D101" s="2" t="str">
        <x:v>남성</x:v>
      </x:c>
      <x:c r="E101" s="7" t="n">
        <x:v>4000</x:v>
      </x:c>
      <x:c r="F101" s="7" t="n">
        <x:v>3</x:v>
      </x:c>
      <x:c r="G101" s="2" t="str">
        <x:v>미혼</x:v>
      </x:c>
      <x:c r="H101" s="7" t="n">
        <x:v>0</x:v>
      </x:c>
      <x:c r="I101" s="2" t="str">
        <x:f>IF(H101&lt;3,H101&amp;"명","3명 이상")</x:f>
        <x:v>0명</x:v>
      </x:c>
      <x:c r="J101" s="2" t="str">
        <x:v>흡연</x:v>
      </x:c>
      <x:c r="K101" s="2" t="str">
        <x:v>없음</x:v>
      </x:c>
      <x:c r="L101" s="2" t="str">
        <x:v>암</x:v>
      </x:c>
      <x:c r="M101" s="2" t="str">
        <x:v>수호천사 암/건강보험</x:v>
      </x:c>
      <x:c r="N101" s="2" t="str">
        <x:f>VLOOKUP(M101,'분류기준'!$A$5:$B$8,2,FALSE)</x:f>
        <x:v>암/건강보험</x:v>
      </x:c>
      <x:c r="O101" s="2" t="str">
        <x:v>선택 안함</x:v>
      </x:c>
      <x:c r="P101" s="2" t="str">
        <x:f>IF(O101="선택 안함","선택 안함",IF(O101="특약 없음","특약 없음","가입"))</x:f>
        <x:v>선택 안함</x:v>
      </x:c>
      <x:c r="Q101" s="2" t="str">
        <x:f>IF(P101="가입","가입","미가입")</x:f>
        <x:v>미가입</x:v>
      </x:c>
    </x:row>
    <x:row r="102" ht="23" customHeight="1">
      <x:c r="A102" s="2" t="str">
        <x:v>C0221</x:v>
      </x:c>
      <x:c r="B102" s="7" t="n">
        <x:v>24</x:v>
      </x:c>
      <x:c r="C102" s="2" t="str">
        <x:f>INT(B102/10)*10&amp;"대"</x:f>
        <x:v>20대</x:v>
      </x:c>
      <x:c r="D102" s="2" t="str">
        <x:v>여성</x:v>
      </x:c>
      <x:c r="E102" s="7" t="n">
        <x:v>4000</x:v>
      </x:c>
      <x:c r="F102" s="7" t="n">
        <x:v>1</x:v>
      </x:c>
      <x:c r="G102" s="2" t="str">
        <x:v>미혼</x:v>
      </x:c>
      <x:c r="H102" s="7" t="n">
        <x:v>0</x:v>
      </x:c>
      <x:c r="I102" s="2" t="str">
        <x:f>IF(H102&lt;3,H102&amp;"명","3명 이상")</x:f>
        <x:v>0명</x:v>
      </x:c>
      <x:c r="J102" s="2" t="str">
        <x:v>비흡연</x:v>
      </x:c>
      <x:c r="K102" s="2" t="str">
        <x:v>없음</x:v>
      </x:c>
      <x:c r="L102" s="2" t="str">
        <x:v>암</x:v>
      </x:c>
      <x:c r="M102" s="2" t="str">
        <x:v>수호천사 암/건강보험</x:v>
      </x:c>
      <x:c r="N102" s="2" t="str">
        <x:f>VLOOKUP(M102,'분류기준'!$A$5:$B$8,2,FALSE)</x:f>
        <x:v>암/건강보험</x:v>
      </x:c>
      <x:c r="O102" s="2" t="str">
        <x:v>표적항암약물허가치료 특약</x:v>
      </x:c>
      <x:c r="P102" s="2" t="str">
        <x:f>IF(O102="선택 안함","선택 안함",IF(O102="특약 없음","특약 없음","가입"))</x:f>
        <x:v>가입</x:v>
      </x:c>
      <x:c r="Q102" s="2" t="str">
        <x:f>IF(P102="가입","가입","미가입")</x:f>
        <x:v>가입</x:v>
      </x:c>
    </x:row>
    <x:row r="103" ht="23" customHeight="1">
      <x:c r="A103" s="2" t="str">
        <x:v>C0263</x:v>
      </x:c>
      <x:c r="B103" s="7" t="n">
        <x:v>24</x:v>
      </x:c>
      <x:c r="C103" s="2" t="str">
        <x:f>INT(B103/10)*10&amp;"대"</x:f>
        <x:v>20대</x:v>
      </x:c>
      <x:c r="D103" s="2" t="str">
        <x:v>여성</x:v>
      </x:c>
      <x:c r="E103" s="7" t="n">
        <x:v>3000</x:v>
      </x:c>
      <x:c r="F103" s="7" t="n">
        <x:v>1</x:v>
      </x:c>
      <x:c r="G103" s="2" t="str">
        <x:v>미혼</x:v>
      </x:c>
      <x:c r="H103" s="7" t="n">
        <x:v>0</x:v>
      </x:c>
      <x:c r="I103" s="2" t="str">
        <x:f>IF(H103&lt;3,H103&amp;"명","3명 이상")</x:f>
        <x:v>0명</x:v>
      </x:c>
      <x:c r="J103" s="2" t="str">
        <x:v>흡연</x:v>
      </x:c>
      <x:c r="K103" s="2" t="str">
        <x:v>없음</x:v>
      </x:c>
      <x:c r="L103" s="2" t="str">
        <x:v>심혈관</x:v>
      </x:c>
      <x:c r="M103" s="2" t="str">
        <x:v>수호천사 간편심사(유병자)보험</x:v>
      </x:c>
      <x:c r="N103" s="2" t="str">
        <x:f>VLOOKUP(M103,'분류기준'!$A$5:$B$8,2,FALSE)</x:f>
        <x:v>간편심사보험</x:v>
      </x:c>
      <x:c r="O103" s="2" t="str">
        <x:v>선택 안함</x:v>
      </x:c>
      <x:c r="P103" s="2" t="str">
        <x:f>IF(O103="선택 안함","선택 안함",IF(O103="특약 없음","특약 없음","가입"))</x:f>
        <x:v>선택 안함</x:v>
      </x:c>
      <x:c r="Q103" s="2" t="str">
        <x:f>IF(P103="가입","가입","미가입")</x:f>
        <x:v>미가입</x:v>
      </x:c>
    </x:row>
    <x:row r="104" ht="23" customHeight="1">
      <x:c r="A104" s="2" t="str">
        <x:v>C0323</x:v>
      </x:c>
      <x:c r="B104" s="7" t="n">
        <x:v>24</x:v>
      </x:c>
      <x:c r="C104" s="2" t="str">
        <x:f>INT(B104/10)*10&amp;"대"</x:f>
        <x:v>20대</x:v>
      </x:c>
      <x:c r="D104" s="2" t="str">
        <x:v>여성</x:v>
      </x:c>
      <x:c r="E104" s="7" t="n">
        <x:v>5000</x:v>
      </x:c>
      <x:c r="F104" s="7" t="n">
        <x:v>1</x:v>
      </x:c>
      <x:c r="G104" s="2" t="str">
        <x:v>미혼</x:v>
      </x:c>
      <x:c r="H104" s="7" t="n">
        <x:v>0</x:v>
      </x:c>
      <x:c r="I104" s="2" t="str">
        <x:f>IF(H104&lt;3,H104&amp;"명","3명 이상")</x:f>
        <x:v>0명</x:v>
      </x:c>
      <x:c r="J104" s="2" t="str">
        <x:v>비흡연</x:v>
      </x:c>
      <x:c r="K104" s="2" t="str">
        <x:v>없음</x:v>
      </x:c>
      <x:c r="L104" s="2" t="str">
        <x:v>없음</x:v>
      </x:c>
      <x:c r="M104" s="2" t="str">
        <x:v>수호천사 암/건강보험</x:v>
      </x:c>
      <x:c r="N104" s="2" t="str">
        <x:f>VLOOKUP(M104,'분류기준'!$A$5:$B$8,2,FALSE)</x:f>
        <x:v>암/건강보험</x:v>
      </x:c>
      <x:c r="O104" s="2" t="str">
        <x:v>수술비 보장 특약</x:v>
      </x:c>
      <x:c r="P104" s="2" t="str">
        <x:f>IF(O104="선택 안함","선택 안함",IF(O104="특약 없음","특약 없음","가입"))</x:f>
        <x:v>가입</x:v>
      </x:c>
      <x:c r="Q104" s="2" t="str">
        <x:f>IF(P104="가입","가입","미가입")</x:f>
        <x:v>가입</x:v>
      </x:c>
    </x:row>
    <x:row r="105" ht="23" customHeight="1">
      <x:c r="A105" s="2" t="str">
        <x:v>C0407</x:v>
      </x:c>
      <x:c r="B105" s="7" t="n">
        <x:v>24</x:v>
      </x:c>
      <x:c r="C105" s="2" t="str">
        <x:f>INT(B105/10)*10&amp;"대"</x:f>
        <x:v>20대</x:v>
      </x:c>
      <x:c r="D105" s="2" t="str">
        <x:v>여성</x:v>
      </x:c>
      <x:c r="E105" s="7" t="n">
        <x:v>6000</x:v>
      </x:c>
      <x:c r="F105" s="7" t="n">
        <x:v>2</x:v>
      </x:c>
      <x:c r="G105" s="2" t="str">
        <x:v>미혼</x:v>
      </x:c>
      <x:c r="H105" s="7" t="n">
        <x:v>0</x:v>
      </x:c>
      <x:c r="I105" s="2" t="str">
        <x:f>IF(H105&lt;3,H105&amp;"명","3명 이상")</x:f>
        <x:v>0명</x:v>
      </x:c>
      <x:c r="J105" s="2" t="str">
        <x:v>비흡연</x:v>
      </x:c>
      <x:c r="K105" s="2" t="str">
        <x:v>없음</x:v>
      </x:c>
      <x:c r="L105" s="2" t="str">
        <x:v>없음</x:v>
      </x:c>
      <x:c r="M105" s="2" t="str">
        <x:v>수호천사 행복 연금보험</x:v>
      </x:c>
      <x:c r="N105" s="2" t="str">
        <x:f>VLOOKUP(M105,'분류기준'!$A$5:$B$8,2,FALSE)</x:f>
        <x:v>연금보험</x:v>
      </x:c>
      <x:c r="O105" s="2" t="str">
        <x:v>특약 없음</x:v>
      </x:c>
      <x:c r="P105" s="2" t="str">
        <x:f>IF(O105="선택 안함","선택 안함",IF(O105="특약 없음","특약 없음","가입"))</x:f>
        <x:v>특약 없음</x:v>
      </x:c>
      <x:c r="Q105" s="2" t="str">
        <x:f>IF(P105="가입","가입","미가입")</x:f>
        <x:v>미가입</x:v>
      </x:c>
    </x:row>
    <x:row r="106" ht="23" customHeight="1">
      <x:c r="A106" s="2" t="str">
        <x:v>C0440</x:v>
      </x:c>
      <x:c r="B106" s="7" t="n">
        <x:v>24</x:v>
      </x:c>
      <x:c r="C106" s="2" t="str">
        <x:f>INT(B106/10)*10&amp;"대"</x:f>
        <x:v>20대</x:v>
      </x:c>
      <x:c r="D106" s="2" t="str">
        <x:v>남성</x:v>
      </x:c>
      <x:c r="E106" s="7" t="n">
        <x:v>6000</x:v>
      </x:c>
      <x:c r="F106" s="7" t="n">
        <x:v>1</x:v>
      </x:c>
      <x:c r="G106" s="2" t="str">
        <x:v>미혼</x:v>
      </x:c>
      <x:c r="H106" s="7" t="n">
        <x:v>0</x:v>
      </x:c>
      <x:c r="I106" s="2" t="str">
        <x:f>IF(H106&lt;3,H106&amp;"명","3명 이상")</x:f>
        <x:v>0명</x:v>
      </x:c>
      <x:c r="J106" s="2" t="str">
        <x:v>흡연</x:v>
      </x:c>
      <x:c r="K106" s="2" t="str">
        <x:v>고혈압</x:v>
      </x:c>
      <x:c r="L106" s="2" t="str">
        <x:v>없음</x:v>
      </x:c>
      <x:c r="M106" s="2" t="str">
        <x:v>수호천사 암/건강보험</x:v>
      </x:c>
      <x:c r="N106" s="2" t="str">
        <x:f>VLOOKUP(M106,'분류기준'!$A$5:$B$8,2,FALSE)</x:f>
        <x:v>암/건강보험</x:v>
      </x:c>
      <x:c r="O106" s="2" t="str">
        <x:v>수술비 보장 특약</x:v>
      </x:c>
      <x:c r="P106" s="2" t="str">
        <x:f>IF(O106="선택 안함","선택 안함",IF(O106="특약 없음","특약 없음","가입"))</x:f>
        <x:v>가입</x:v>
      </x:c>
      <x:c r="Q106" s="2" t="str">
        <x:f>IF(P106="가입","가입","미가입")</x:f>
        <x:v>가입</x:v>
      </x:c>
    </x:row>
    <x:row r="107" ht="23" customHeight="1">
      <x:c r="A107" s="2" t="str">
        <x:v>C0452</x:v>
      </x:c>
      <x:c r="B107" s="7" t="n">
        <x:v>24</x:v>
      </x:c>
      <x:c r="C107" s="2" t="str">
        <x:f>INT(B107/10)*10&amp;"대"</x:f>
        <x:v>20대</x:v>
      </x:c>
      <x:c r="D107" s="2" t="str">
        <x:v>남성</x:v>
      </x:c>
      <x:c r="E107" s="7" t="n">
        <x:v>12000</x:v>
      </x:c>
      <x:c r="F107" s="7" t="n">
        <x:v>2</x:v>
      </x:c>
      <x:c r="G107" s="2" t="str">
        <x:v>미혼</x:v>
      </x:c>
      <x:c r="H107" s="7" t="n">
        <x:v>0</x:v>
      </x:c>
      <x:c r="I107" s="2" t="str">
        <x:f>IF(H107&lt;3,H107&amp;"명","3명 이상")</x:f>
        <x:v>0명</x:v>
      </x:c>
      <x:c r="J107" s="2" t="str">
        <x:v>비흡연</x:v>
      </x:c>
      <x:c r="K107" s="2" t="str">
        <x:v>없음</x:v>
      </x:c>
      <x:c r="L107" s="2" t="str">
        <x:v>암</x:v>
      </x:c>
      <x:c r="M107" s="2" t="str">
        <x:v>수호천사 암/건강보험</x:v>
      </x:c>
      <x:c r="N107" s="2" t="str">
        <x:f>VLOOKUP(M107,'분류기준'!$A$5:$B$8,2,FALSE)</x:f>
        <x:v>암/건강보험</x:v>
      </x:c>
      <x:c r="O107" s="2" t="str">
        <x:v>표적항암약물허가치료 특약</x:v>
      </x:c>
      <x:c r="P107" s="2" t="str">
        <x:f>IF(O107="선택 안함","선택 안함",IF(O107="특약 없음","특약 없음","가입"))</x:f>
        <x:v>가입</x:v>
      </x:c>
      <x:c r="Q107" s="2" t="str">
        <x:f>IF(P107="가입","가입","미가입")</x:f>
        <x:v>가입</x:v>
      </x:c>
    </x:row>
    <x:row r="108" ht="23" customHeight="1">
      <x:c r="A108" s="2" t="str">
        <x:v>C0455</x:v>
      </x:c>
      <x:c r="B108" s="7" t="n">
        <x:v>24</x:v>
      </x:c>
      <x:c r="C108" s="2" t="str">
        <x:f>INT(B108/10)*10&amp;"대"</x:f>
        <x:v>20대</x:v>
      </x:c>
      <x:c r="D108" s="2" t="str">
        <x:v>남성</x:v>
      </x:c>
      <x:c r="E108" s="7" t="n">
        <x:v>4000</x:v>
      </x:c>
      <x:c r="F108" s="7" t="n">
        <x:v>2</x:v>
      </x:c>
      <x:c r="G108" s="2" t="str">
        <x:v>미혼</x:v>
      </x:c>
      <x:c r="H108" s="7" t="n">
        <x:v>0</x:v>
      </x:c>
      <x:c r="I108" s="2" t="str">
        <x:f>IF(H108&lt;3,H108&amp;"명","3명 이상")</x:f>
        <x:v>0명</x:v>
      </x:c>
      <x:c r="J108" s="2" t="str">
        <x:v>비흡연</x:v>
      </x:c>
      <x:c r="K108" s="2" t="str">
        <x:v>없음</x:v>
      </x:c>
      <x:c r="L108" s="2" t="str">
        <x:v>없음</x:v>
      </x:c>
      <x:c r="M108" s="2" t="str">
        <x:v>수호천사 행복 연금보험</x:v>
      </x:c>
      <x:c r="N108" s="2" t="str">
        <x:f>VLOOKUP(M108,'분류기준'!$A$5:$B$8,2,FALSE)</x:f>
        <x:v>연금보험</x:v>
      </x:c>
      <x:c r="O108" s="2" t="str">
        <x:v>특약 없음</x:v>
      </x:c>
      <x:c r="P108" s="2" t="str">
        <x:f>IF(O108="선택 안함","선택 안함",IF(O108="특약 없음","특약 없음","가입"))</x:f>
        <x:v>특약 없음</x:v>
      </x:c>
      <x:c r="Q108" s="2" t="str">
        <x:f>IF(P108="가입","가입","미가입")</x:f>
        <x:v>미가입</x:v>
      </x:c>
    </x:row>
    <x:row r="109" ht="23" customHeight="1">
      <x:c r="A109" s="2" t="str">
        <x:v>C0468</x:v>
      </x:c>
      <x:c r="B109" s="7" t="n">
        <x:v>24</x:v>
      </x:c>
      <x:c r="C109" s="2" t="str">
        <x:f>INT(B109/10)*10&amp;"대"</x:f>
        <x:v>20대</x:v>
      </x:c>
      <x:c r="D109" s="2" t="str">
        <x:v>여성</x:v>
      </x:c>
      <x:c r="E109" s="7" t="n">
        <x:v>6000</x:v>
      </x:c>
      <x:c r="F109" s="7" t="n">
        <x:v>1</x:v>
      </x:c>
      <x:c r="G109" s="2" t="str">
        <x:v>미혼</x:v>
      </x:c>
      <x:c r="H109" s="7" t="n">
        <x:v>0</x:v>
      </x:c>
      <x:c r="I109" s="2" t="str">
        <x:f>IF(H109&lt;3,H109&amp;"명","3명 이상")</x:f>
        <x:v>0명</x:v>
      </x:c>
      <x:c r="J109" s="2" t="str">
        <x:v>비흡연</x:v>
      </x:c>
      <x:c r="K109" s="2" t="str">
        <x:v>없음</x:v>
      </x:c>
      <x:c r="L109" s="2" t="str">
        <x:v>암</x:v>
      </x:c>
      <x:c r="M109" s="2" t="str">
        <x:v>수호천사 행복 연금보험</x:v>
      </x:c>
      <x:c r="N109" s="2" t="str">
        <x:f>VLOOKUP(M109,'분류기준'!$A$5:$B$8,2,FALSE)</x:f>
        <x:v>연금보험</x:v>
      </x:c>
      <x:c r="O109" s="2" t="str">
        <x:v>특약 없음</x:v>
      </x:c>
      <x:c r="P109" s="2" t="str">
        <x:f>IF(O109="선택 안함","선택 안함",IF(O109="특약 없음","특약 없음","가입"))</x:f>
        <x:v>특약 없음</x:v>
      </x:c>
      <x:c r="Q109" s="2" t="str">
        <x:f>IF(P109="가입","가입","미가입")</x:f>
        <x:v>미가입</x:v>
      </x:c>
    </x:row>
    <x:row r="110" ht="23" customHeight="1">
      <x:c r="A110" s="2" t="str">
        <x:v>C0476</x:v>
      </x:c>
      <x:c r="B110" s="7" t="n">
        <x:v>24</x:v>
      </x:c>
      <x:c r="C110" s="2" t="str">
        <x:f>INT(B110/10)*10&amp;"대"</x:f>
        <x:v>20대</x:v>
      </x:c>
      <x:c r="D110" s="2" t="str">
        <x:v>여성</x:v>
      </x:c>
      <x:c r="E110" s="7" t="n">
        <x:v>3000</x:v>
      </x:c>
      <x:c r="F110" s="7" t="n">
        <x:v>3</x:v>
      </x:c>
      <x:c r="G110" s="2" t="str">
        <x:v>미혼</x:v>
      </x:c>
      <x:c r="H110" s="7" t="n">
        <x:v>0</x:v>
      </x:c>
      <x:c r="I110" s="2" t="str">
        <x:f>IF(H110&lt;3,H110&amp;"명","3명 이상")</x:f>
        <x:v>0명</x:v>
      </x:c>
      <x:c r="J110" s="2" t="str">
        <x:v>비흡연</x:v>
      </x:c>
      <x:c r="K110" s="2" t="str">
        <x:v>없음</x:v>
      </x:c>
      <x:c r="L110" s="2" t="str">
        <x:v>심혈관</x:v>
      </x:c>
      <x:c r="M110" s="2" t="str">
        <x:v>수호천사 암/건강보험</x:v>
      </x:c>
      <x:c r="N110" s="2" t="str">
        <x:f>VLOOKUP(M110,'분류기준'!$A$5:$B$8,2,FALSE)</x:f>
        <x:v>암/건강보험</x:v>
      </x:c>
      <x:c r="O110" s="2" t="str">
        <x:v>표적항암약물허가치료 특약</x:v>
      </x:c>
      <x:c r="P110" s="2" t="str">
        <x:f>IF(O110="선택 안함","선택 안함",IF(O110="특약 없음","특약 없음","가입"))</x:f>
        <x:v>가입</x:v>
      </x:c>
      <x:c r="Q110" s="2" t="str">
        <x:f>IF(P110="가입","가입","미가입")</x:f>
        <x:v>가입</x:v>
      </x:c>
    </x:row>
    <x:row r="111" ht="23" customHeight="1">
      <x:c r="A111" s="2" t="str">
        <x:v>C0567</x:v>
      </x:c>
      <x:c r="B111" s="7" t="n">
        <x:v>24</x:v>
      </x:c>
      <x:c r="C111" s="2" t="str">
        <x:f>INT(B111/10)*10&amp;"대"</x:f>
        <x:v>20대</x:v>
      </x:c>
      <x:c r="D111" s="2" t="str">
        <x:v>남성</x:v>
      </x:c>
      <x:c r="E111" s="7" t="n">
        <x:v>5000</x:v>
      </x:c>
      <x:c r="F111" s="7" t="n">
        <x:v>1</x:v>
      </x:c>
      <x:c r="G111" s="2" t="str">
        <x:v>미혼</x:v>
      </x:c>
      <x:c r="H111" s="7" t="n">
        <x:v>0</x:v>
      </x:c>
      <x:c r="I111" s="2" t="str">
        <x:f>IF(H111&lt;3,H111&amp;"명","3명 이상")</x:f>
        <x:v>0명</x:v>
      </x:c>
      <x:c r="J111" s="2" t="str">
        <x:v>비흡연</x:v>
      </x:c>
      <x:c r="K111" s="2" t="str">
        <x:v>없음</x:v>
      </x:c>
      <x:c r="L111" s="2" t="str">
        <x:v>없음</x:v>
      </x:c>
      <x:c r="M111" s="2" t="str">
        <x:v>수호천사 행복 연금보험</x:v>
      </x:c>
      <x:c r="N111" s="2" t="str">
        <x:f>VLOOKUP(M111,'분류기준'!$A$5:$B$8,2,FALSE)</x:f>
        <x:v>연금보험</x:v>
      </x:c>
      <x:c r="O111" s="2" t="str">
        <x:v>특약 없음</x:v>
      </x:c>
      <x:c r="P111" s="2" t="str">
        <x:f>IF(O111="선택 안함","선택 안함",IF(O111="특약 없음","특약 없음","가입"))</x:f>
        <x:v>특약 없음</x:v>
      </x:c>
      <x:c r="Q111" s="2" t="str">
        <x:f>IF(P111="가입","가입","미가입")</x:f>
        <x:v>미가입</x:v>
      </x:c>
    </x:row>
    <x:row r="112" ht="23" customHeight="1">
      <x:c r="A112" s="2" t="str">
        <x:v>C0581</x:v>
      </x:c>
      <x:c r="B112" s="7" t="n">
        <x:v>24</x:v>
      </x:c>
      <x:c r="C112" s="2" t="str">
        <x:f>INT(B112/10)*10&amp;"대"</x:f>
        <x:v>20대</x:v>
      </x:c>
      <x:c r="D112" s="2" t="str">
        <x:v>남성</x:v>
      </x:c>
      <x:c r="E112" s="7" t="n">
        <x:v>3000</x:v>
      </x:c>
      <x:c r="F112" s="7" t="n">
        <x:v>1</x:v>
      </x:c>
      <x:c r="G112" s="2" t="str">
        <x:v>미혼</x:v>
      </x:c>
      <x:c r="H112" s="7" t="n">
        <x:v>0</x:v>
      </x:c>
      <x:c r="I112" s="2" t="str">
        <x:f>IF(H112&lt;3,H112&amp;"명","3명 이상")</x:f>
        <x:v>0명</x:v>
      </x:c>
      <x:c r="J112" s="2" t="str">
        <x:v>비흡연</x:v>
      </x:c>
      <x:c r="K112" s="2" t="str">
        <x:v>없음</x:v>
      </x:c>
      <x:c r="L112" s="2" t="str">
        <x:v>심혈관</x:v>
      </x:c>
      <x:c r="M112" s="2" t="str">
        <x:v>수호천사 행복 연금보험</x:v>
      </x:c>
      <x:c r="N112" s="2" t="str">
        <x:f>VLOOKUP(M112,'분류기준'!$A$5:$B$8,2,FALSE)</x:f>
        <x:v>연금보험</x:v>
      </x:c>
      <x:c r="O112" s="2" t="str">
        <x:v>특약 없음</x:v>
      </x:c>
      <x:c r="P112" s="2" t="str">
        <x:f>IF(O112="선택 안함","선택 안함",IF(O112="특약 없음","특약 없음","가입"))</x:f>
        <x:v>특약 없음</x:v>
      </x:c>
      <x:c r="Q112" s="2" t="str">
        <x:f>IF(P112="가입","가입","미가입")</x:f>
        <x:v>미가입</x:v>
      </x:c>
    </x:row>
    <x:row r="113" ht="23" customHeight="1">
      <x:c r="A113" s="2" t="str">
        <x:v>C0602</x:v>
      </x:c>
      <x:c r="B113" s="7" t="n">
        <x:v>24</x:v>
      </x:c>
      <x:c r="C113" s="2" t="str">
        <x:f>INT(B113/10)*10&amp;"대"</x:f>
        <x:v>20대</x:v>
      </x:c>
      <x:c r="D113" s="2" t="str">
        <x:v>남성</x:v>
      </x:c>
      <x:c r="E113" s="7" t="n">
        <x:v>6000</x:v>
      </x:c>
      <x:c r="F113" s="7" t="n">
        <x:v>1</x:v>
      </x:c>
      <x:c r="G113" s="2" t="str">
        <x:v>미혼</x:v>
      </x:c>
      <x:c r="H113" s="7" t="n">
        <x:v>0</x:v>
      </x:c>
      <x:c r="I113" s="2" t="str">
        <x:f>IF(H113&lt;3,H113&amp;"명","3명 이상")</x:f>
        <x:v>0명</x:v>
      </x:c>
      <x:c r="J113" s="2" t="str">
        <x:v>비흡연</x:v>
      </x:c>
      <x:c r="K113" s="2" t="str">
        <x:v>없음</x:v>
      </x:c>
      <x:c r="L113" s="2" t="str">
        <x:v>암</x:v>
      </x:c>
      <x:c r="M113" s="2" t="str">
        <x:v>수호천사 암/건강보험</x:v>
      </x:c>
      <x:c r="N113" s="2" t="str">
        <x:f>VLOOKUP(M113,'분류기준'!$A$5:$B$8,2,FALSE)</x:f>
        <x:v>암/건강보험</x:v>
      </x:c>
      <x:c r="O113" s="2" t="str">
        <x:v>수술비 보장 특약</x:v>
      </x:c>
      <x:c r="P113" s="2" t="str">
        <x:f>IF(O113="선택 안함","선택 안함",IF(O113="특약 없음","특약 없음","가입"))</x:f>
        <x:v>가입</x:v>
      </x:c>
      <x:c r="Q113" s="2" t="str">
        <x:f>IF(P113="가입","가입","미가입")</x:f>
        <x:v>가입</x:v>
      </x:c>
    </x:row>
    <x:row r="114" ht="23" customHeight="1">
      <x:c r="A114" s="2" t="str">
        <x:v>C0699</x:v>
      </x:c>
      <x:c r="B114" s="7" t="n">
        <x:v>24</x:v>
      </x:c>
      <x:c r="C114" s="2" t="str">
        <x:f>INT(B114/10)*10&amp;"대"</x:f>
        <x:v>20대</x:v>
      </x:c>
      <x:c r="D114" s="2" t="str">
        <x:v>여성</x:v>
      </x:c>
      <x:c r="E114" s="7" t="n">
        <x:v>4000</x:v>
      </x:c>
      <x:c r="F114" s="7" t="n">
        <x:v>2</x:v>
      </x:c>
      <x:c r="G114" s="2" t="str">
        <x:v>미혼</x:v>
      </x:c>
      <x:c r="H114" s="7" t="n">
        <x:v>0</x:v>
      </x:c>
      <x:c r="I114" s="2" t="str">
        <x:f>IF(H114&lt;3,H114&amp;"명","3명 이상")</x:f>
        <x:v>0명</x:v>
      </x:c>
      <x:c r="J114" s="2" t="str">
        <x:v>비흡연</x:v>
      </x:c>
      <x:c r="K114" s="2" t="str">
        <x:v>없음</x:v>
      </x:c>
      <x:c r="L114" s="2" t="str">
        <x:v>없음</x:v>
      </x:c>
      <x:c r="M114" s="2" t="str">
        <x:v>수호천사 암/건강보험</x:v>
      </x:c>
      <x:c r="N114" s="2" t="str">
        <x:f>VLOOKUP(M114,'분류기준'!$A$5:$B$8,2,FALSE)</x:f>
        <x:v>암/건강보험</x:v>
      </x:c>
      <x:c r="O114" s="2" t="str">
        <x:v>수술비 보장 특약</x:v>
      </x:c>
      <x:c r="P114" s="2" t="str">
        <x:f>IF(O114="선택 안함","선택 안함",IF(O114="특약 없음","특약 없음","가입"))</x:f>
        <x:v>가입</x:v>
      </x:c>
      <x:c r="Q114" s="2" t="str">
        <x:f>IF(P114="가입","가입","미가입")</x:f>
        <x:v>가입</x:v>
      </x:c>
    </x:row>
    <x:row r="115" ht="23" customHeight="1">
      <x:c r="A115" s="2" t="str">
        <x:v>C0705</x:v>
      </x:c>
      <x:c r="B115" s="7" t="n">
        <x:v>24</x:v>
      </x:c>
      <x:c r="C115" s="2" t="str">
        <x:f>INT(B115/10)*10&amp;"대"</x:f>
        <x:v>20대</x:v>
      </x:c>
      <x:c r="D115" s="2" t="str">
        <x:v>남성</x:v>
      </x:c>
      <x:c r="E115" s="7" t="n">
        <x:v>4000</x:v>
      </x:c>
      <x:c r="F115" s="7" t="n">
        <x:v>1</x:v>
      </x:c>
      <x:c r="G115" s="2" t="str">
        <x:v>미혼</x:v>
      </x:c>
      <x:c r="H115" s="7" t="n">
        <x:v>0</x:v>
      </x:c>
      <x:c r="I115" s="2" t="str">
        <x:f>IF(H115&lt;3,H115&amp;"명","3명 이상")</x:f>
        <x:v>0명</x:v>
      </x:c>
      <x:c r="J115" s="2" t="str">
        <x:v>비흡연</x:v>
      </x:c>
      <x:c r="K115" s="2" t="str">
        <x:v>없음</x:v>
      </x:c>
      <x:c r="L115" s="2" t="str">
        <x:v>없음</x:v>
      </x:c>
      <x:c r="M115" s="2" t="str">
        <x:v>수호천사 행복 연금보험</x:v>
      </x:c>
      <x:c r="N115" s="2" t="str">
        <x:f>VLOOKUP(M115,'분류기준'!$A$5:$B$8,2,FALSE)</x:f>
        <x:v>연금보험</x:v>
      </x:c>
      <x:c r="O115" s="2" t="str">
        <x:v>특약 없음</x:v>
      </x:c>
      <x:c r="P115" s="2" t="str">
        <x:f>IF(O115="선택 안함","선택 안함",IF(O115="특약 없음","특약 없음","가입"))</x:f>
        <x:v>특약 없음</x:v>
      </x:c>
      <x:c r="Q115" s="2" t="str">
        <x:f>IF(P115="가입","가입","미가입")</x:f>
        <x:v>미가입</x:v>
      </x:c>
    </x:row>
    <x:row r="116" ht="23" customHeight="1">
      <x:c r="A116" s="2" t="str">
        <x:v>C0726</x:v>
      </x:c>
      <x:c r="B116" s="7" t="n">
        <x:v>24</x:v>
      </x:c>
      <x:c r="C116" s="2" t="str">
        <x:f>INT(B116/10)*10&amp;"대"</x:f>
        <x:v>20대</x:v>
      </x:c>
      <x:c r="D116" s="2" t="str">
        <x:v>남성</x:v>
      </x:c>
      <x:c r="E116" s="7" t="n">
        <x:v>5000</x:v>
      </x:c>
      <x:c r="F116" s="7" t="n">
        <x:v>1</x:v>
      </x:c>
      <x:c r="G116" s="2" t="str">
        <x:v>미혼</x:v>
      </x:c>
      <x:c r="H116" s="7" t="n">
        <x:v>0</x:v>
      </x:c>
      <x:c r="I116" s="2" t="str">
        <x:f>IF(H116&lt;3,H116&amp;"명","3명 이상")</x:f>
        <x:v>0명</x:v>
      </x:c>
      <x:c r="J116" s="2" t="str">
        <x:v>비흡연</x:v>
      </x:c>
      <x:c r="K116" s="2" t="str">
        <x:v>없음</x:v>
      </x:c>
      <x:c r="L116" s="2" t="str">
        <x:v>없음</x:v>
      </x:c>
      <x:c r="M116" s="2" t="str">
        <x:v>수호천사 행복 연금보험</x:v>
      </x:c>
      <x:c r="N116" s="2" t="str">
        <x:f>VLOOKUP(M116,'분류기준'!$A$5:$B$8,2,FALSE)</x:f>
        <x:v>연금보험</x:v>
      </x:c>
      <x:c r="O116" s="2" t="str">
        <x:v>특약 없음</x:v>
      </x:c>
      <x:c r="P116" s="2" t="str">
        <x:f>IF(O116="선택 안함","선택 안함",IF(O116="특약 없음","특약 없음","가입"))</x:f>
        <x:v>특약 없음</x:v>
      </x:c>
      <x:c r="Q116" s="2" t="str">
        <x:f>IF(P116="가입","가입","미가입")</x:f>
        <x:v>미가입</x:v>
      </x:c>
    </x:row>
    <x:row r="117" ht="23" customHeight="1">
      <x:c r="A117" s="2" t="str">
        <x:v>C0728</x:v>
      </x:c>
      <x:c r="B117" s="7" t="n">
        <x:v>24</x:v>
      </x:c>
      <x:c r="C117" s="2" t="str">
        <x:f>INT(B117/10)*10&amp;"대"</x:f>
        <x:v>20대</x:v>
      </x:c>
      <x:c r="D117" s="2" t="str">
        <x:v>남성</x:v>
      </x:c>
      <x:c r="E117" s="7" t="n">
        <x:v>4000</x:v>
      </x:c>
      <x:c r="F117" s="7" t="n">
        <x:v>2</x:v>
      </x:c>
      <x:c r="G117" s="2" t="str">
        <x:v>미혼</x:v>
      </x:c>
      <x:c r="H117" s="7" t="n">
        <x:v>0</x:v>
      </x:c>
      <x:c r="I117" s="2" t="str">
        <x:f>IF(H117&lt;3,H117&amp;"명","3명 이상")</x:f>
        <x:v>0명</x:v>
      </x:c>
      <x:c r="J117" s="2" t="str">
        <x:v>비흡연</x:v>
      </x:c>
      <x:c r="K117" s="2" t="str">
        <x:v>없음</x:v>
      </x:c>
      <x:c r="L117" s="2" t="str">
        <x:v>없음</x:v>
      </x:c>
      <x:c r="M117" s="2" t="str">
        <x:v>수호천사 암/건강보험</x:v>
      </x:c>
      <x:c r="N117" s="2" t="str">
        <x:f>VLOOKUP(M117,'분류기준'!$A$5:$B$8,2,FALSE)</x:f>
        <x:v>암/건강보험</x:v>
      </x:c>
      <x:c r="O117" s="2" t="str">
        <x:v>수술비 보장 특약</x:v>
      </x:c>
      <x:c r="P117" s="2" t="str">
        <x:f>IF(O117="선택 안함","선택 안함",IF(O117="특약 없음","특약 없음","가입"))</x:f>
        <x:v>가입</x:v>
      </x:c>
      <x:c r="Q117" s="2" t="str">
        <x:f>IF(P117="가입","가입","미가입")</x:f>
        <x:v>가입</x:v>
      </x:c>
    </x:row>
    <x:row r="118" ht="23" customHeight="1">
      <x:c r="A118" s="2" t="str">
        <x:v>C0760</x:v>
      </x:c>
      <x:c r="B118" s="7" t="n">
        <x:v>24</x:v>
      </x:c>
      <x:c r="C118" s="2" t="str">
        <x:f>INT(B118/10)*10&amp;"대"</x:f>
        <x:v>20대</x:v>
      </x:c>
      <x:c r="D118" s="2" t="str">
        <x:v>여성</x:v>
      </x:c>
      <x:c r="E118" s="7" t="n">
        <x:v>12000</x:v>
      </x:c>
      <x:c r="F118" s="7" t="n">
        <x:v>1</x:v>
      </x:c>
      <x:c r="G118" s="2" t="str">
        <x:v>미혼</x:v>
      </x:c>
      <x:c r="H118" s="7" t="n">
        <x:v>0</x:v>
      </x:c>
      <x:c r="I118" s="2" t="str">
        <x:f>IF(H118&lt;3,H118&amp;"명","3명 이상")</x:f>
        <x:v>0명</x:v>
      </x:c>
      <x:c r="J118" s="2" t="str">
        <x:v>비흡연</x:v>
      </x:c>
      <x:c r="K118" s="2" t="str">
        <x:v>없음</x:v>
      </x:c>
      <x:c r="L118" s="2" t="str">
        <x:v>암</x:v>
      </x:c>
      <x:c r="M118" s="2" t="str">
        <x:v>수호천사 암/건강보험</x:v>
      </x:c>
      <x:c r="N118" s="2" t="str">
        <x:f>VLOOKUP(M118,'분류기준'!$A$5:$B$8,2,FALSE)</x:f>
        <x:v>암/건강보험</x:v>
      </x:c>
      <x:c r="O118" s="2" t="str">
        <x:v>표적항암약물허가치료 특약</x:v>
      </x:c>
      <x:c r="P118" s="2" t="str">
        <x:f>IF(O118="선택 안함","선택 안함",IF(O118="특약 없음","특약 없음","가입"))</x:f>
        <x:v>가입</x:v>
      </x:c>
      <x:c r="Q118" s="2" t="str">
        <x:f>IF(P118="가입","가입","미가입")</x:f>
        <x:v>가입</x:v>
      </x:c>
    </x:row>
    <x:row r="119" ht="23" customHeight="1">
      <x:c r="A119" s="2" t="str">
        <x:v>C0788</x:v>
      </x:c>
      <x:c r="B119" s="7" t="n">
        <x:v>24</x:v>
      </x:c>
      <x:c r="C119" s="2" t="str">
        <x:f>INT(B119/10)*10&amp;"대"</x:f>
        <x:v>20대</x:v>
      </x:c>
      <x:c r="D119" s="2" t="str">
        <x:v>여성</x:v>
      </x:c>
      <x:c r="E119" s="7" t="n">
        <x:v>4000</x:v>
      </x:c>
      <x:c r="F119" s="7" t="n">
        <x:v>1</x:v>
      </x:c>
      <x:c r="G119" s="2" t="str">
        <x:v>미혼</x:v>
      </x:c>
      <x:c r="H119" s="7" t="n">
        <x:v>0</x:v>
      </x:c>
      <x:c r="I119" s="2" t="str">
        <x:f>IF(H119&lt;3,H119&amp;"명","3명 이상")</x:f>
        <x:v>0명</x:v>
      </x:c>
      <x:c r="J119" s="2" t="str">
        <x:v>비흡연</x:v>
      </x:c>
      <x:c r="K119" s="2" t="str">
        <x:v>없음</x:v>
      </x:c>
      <x:c r="L119" s="2" t="str">
        <x:v>없음</x:v>
      </x:c>
      <x:c r="M119" s="2" t="str">
        <x:v>수호천사 간편심사(유병자)보험</x:v>
      </x:c>
      <x:c r="N119" s="2" t="str">
        <x:f>VLOOKUP(M119,'분류기준'!$A$5:$B$8,2,FALSE)</x:f>
        <x:v>간편심사보험</x:v>
      </x:c>
      <x:c r="O119" s="2" t="str">
        <x:v>중증질환 산정특례 보장 특약</x:v>
      </x:c>
      <x:c r="P119" s="2" t="str">
        <x:f>IF(O119="선택 안함","선택 안함",IF(O119="특약 없음","특약 없음","가입"))</x:f>
        <x:v>가입</x:v>
      </x:c>
      <x:c r="Q119" s="2" t="str">
        <x:f>IF(P119="가입","가입","미가입")</x:f>
        <x:v>가입</x:v>
      </x:c>
    </x:row>
    <x:row r="120" ht="23" customHeight="1">
      <x:c r="A120" s="2" t="str">
        <x:v>C0797</x:v>
      </x:c>
      <x:c r="B120" s="7" t="n">
        <x:v>24</x:v>
      </x:c>
      <x:c r="C120" s="2" t="str">
        <x:f>INT(B120/10)*10&amp;"대"</x:f>
        <x:v>20대</x:v>
      </x:c>
      <x:c r="D120" s="2" t="str">
        <x:v>남성</x:v>
      </x:c>
      <x:c r="E120" s="7" t="n">
        <x:v>7500</x:v>
      </x:c>
      <x:c r="F120" s="7" t="n">
        <x:v>1</x:v>
      </x:c>
      <x:c r="G120" s="2" t="str">
        <x:v>미혼</x:v>
      </x:c>
      <x:c r="H120" s="7" t="n">
        <x:v>0</x:v>
      </x:c>
      <x:c r="I120" s="2" t="str">
        <x:f>IF(H120&lt;3,H120&amp;"명","3명 이상")</x:f>
        <x:v>0명</x:v>
      </x:c>
      <x:c r="J120" s="2" t="str">
        <x:v>비흡연</x:v>
      </x:c>
      <x:c r="K120" s="2" t="str">
        <x:v>없음</x:v>
      </x:c>
      <x:c r="L120" s="2" t="str">
        <x:v>없음</x:v>
      </x:c>
      <x:c r="M120" s="2" t="str">
        <x:v>수호천사 행복 연금보험</x:v>
      </x:c>
      <x:c r="N120" s="2" t="str">
        <x:f>VLOOKUP(M120,'분류기준'!$A$5:$B$8,2,FALSE)</x:f>
        <x:v>연금보험</x:v>
      </x:c>
      <x:c r="O120" s="2" t="str">
        <x:v>특약 없음</x:v>
      </x:c>
      <x:c r="P120" s="2" t="str">
        <x:f>IF(O120="선택 안함","선택 안함",IF(O120="특약 없음","특약 없음","가입"))</x:f>
        <x:v>특약 없음</x:v>
      </x:c>
      <x:c r="Q120" s="2" t="str">
        <x:f>IF(P120="가입","가입","미가입")</x:f>
        <x:v>미가입</x:v>
      </x:c>
    </x:row>
    <x:row r="121" ht="23" customHeight="1">
      <x:c r="A121" s="2" t="str">
        <x:v>C0823</x:v>
      </x:c>
      <x:c r="B121" s="7" t="n">
        <x:v>24</x:v>
      </x:c>
      <x:c r="C121" s="2" t="str">
        <x:f>INT(B121/10)*10&amp;"대"</x:f>
        <x:v>20대</x:v>
      </x:c>
      <x:c r="D121" s="2" t="str">
        <x:v>남성</x:v>
      </x:c>
      <x:c r="E121" s="7" t="n">
        <x:v>6000</x:v>
      </x:c>
      <x:c r="F121" s="7" t="n">
        <x:v>1</x:v>
      </x:c>
      <x:c r="G121" s="2" t="str">
        <x:v>기혼</x:v>
      </x:c>
      <x:c r="H121" s="7" t="n">
        <x:v>0</x:v>
      </x:c>
      <x:c r="I121" s="2" t="str">
        <x:f>IF(H121&lt;3,H121&amp;"명","3명 이상")</x:f>
        <x:v>0명</x:v>
      </x:c>
      <x:c r="J121" s="2" t="str">
        <x:v>흡연</x:v>
      </x:c>
      <x:c r="K121" s="2" t="str">
        <x:v>없음</x:v>
      </x:c>
      <x:c r="L121" s="2" t="str">
        <x:v>없음</x:v>
      </x:c>
      <x:c r="M121" s="2" t="str">
        <x:v>수호천사 행복 연금보험</x:v>
      </x:c>
      <x:c r="N121" s="2" t="str">
        <x:f>VLOOKUP(M121,'분류기준'!$A$5:$B$8,2,FALSE)</x:f>
        <x:v>연금보험</x:v>
      </x:c>
      <x:c r="O121" s="2" t="str">
        <x:v>특약 없음</x:v>
      </x:c>
      <x:c r="P121" s="2" t="str">
        <x:f>IF(O121="선택 안함","선택 안함",IF(O121="특약 없음","특약 없음","가입"))</x:f>
        <x:v>특약 없음</x:v>
      </x:c>
      <x:c r="Q121" s="2" t="str">
        <x:f>IF(P121="가입","가입","미가입")</x:f>
        <x:v>미가입</x:v>
      </x:c>
    </x:row>
    <x:row r="122" ht="23" customHeight="1">
      <x:c r="A122" s="2" t="str">
        <x:v>C0831</x:v>
      </x:c>
      <x:c r="B122" s="7" t="n">
        <x:v>24</x:v>
      </x:c>
      <x:c r="C122" s="2" t="str">
        <x:f>INT(B122/10)*10&amp;"대"</x:f>
        <x:v>20대</x:v>
      </x:c>
      <x:c r="D122" s="2" t="str">
        <x:v>여성</x:v>
      </x:c>
      <x:c r="E122" s="7" t="n">
        <x:v>6000</x:v>
      </x:c>
      <x:c r="F122" s="7" t="n">
        <x:v>1</x:v>
      </x:c>
      <x:c r="G122" s="2" t="str">
        <x:v>기혼</x:v>
      </x:c>
      <x:c r="H122" s="7" t="n">
        <x:v>1</x:v>
      </x:c>
      <x:c r="I122" s="2" t="str">
        <x:f>IF(H122&lt;3,H122&amp;"명","3명 이상")</x:f>
        <x:v>1명</x:v>
      </x:c>
      <x:c r="J122" s="2" t="str">
        <x:v>비흡연</x:v>
      </x:c>
      <x:c r="K122" s="2" t="str">
        <x:v>없음</x:v>
      </x:c>
      <x:c r="L122" s="2" t="str">
        <x:v>없음</x:v>
      </x:c>
      <x:c r="M122" s="2" t="str">
        <x:v>수호천사 우리가족 종신보험</x:v>
      </x:c>
      <x:c r="N122" s="2" t="str">
        <x:f>VLOOKUP(M122,'분류기준'!$A$5:$B$8,2,FALSE)</x:f>
        <x:v>종신보험</x:v>
      </x:c>
      <x:c r="O122" s="2" t="str">
        <x:v>가족 수입 보장 특약</x:v>
      </x:c>
      <x:c r="P122" s="2" t="str">
        <x:f>IF(O122="선택 안함","선택 안함",IF(O122="특약 없음","특약 없음","가입"))</x:f>
        <x:v>가입</x:v>
      </x:c>
      <x:c r="Q122" s="2" t="str">
        <x:f>IF(P122="가입","가입","미가입")</x:f>
        <x:v>가입</x:v>
      </x:c>
    </x:row>
    <x:row r="123" ht="23" customHeight="1">
      <x:c r="A123" s="2" t="str">
        <x:v>C0947</x:v>
      </x:c>
      <x:c r="B123" s="7" t="n">
        <x:v>24</x:v>
      </x:c>
      <x:c r="C123" s="2" t="str">
        <x:f>INT(B123/10)*10&amp;"대"</x:f>
        <x:v>20대</x:v>
      </x:c>
      <x:c r="D123" s="2" t="str">
        <x:v>여성</x:v>
      </x:c>
      <x:c r="E123" s="7" t="n">
        <x:v>12000</x:v>
      </x:c>
      <x:c r="F123" s="7" t="n">
        <x:v>1</x:v>
      </x:c>
      <x:c r="G123" s="2" t="str">
        <x:v>미혼</x:v>
      </x:c>
      <x:c r="H123" s="7" t="n">
        <x:v>0</x:v>
      </x:c>
      <x:c r="I123" s="2" t="str">
        <x:f>IF(H123&lt;3,H123&amp;"명","3명 이상")</x:f>
        <x:v>0명</x:v>
      </x:c>
      <x:c r="J123" s="2" t="str">
        <x:v>비흡연</x:v>
      </x:c>
      <x:c r="K123" s="2" t="str">
        <x:v>없음</x:v>
      </x:c>
      <x:c r="L123" s="2" t="str">
        <x:v>없음</x:v>
      </x:c>
      <x:c r="M123" s="2" t="str">
        <x:v>수호천사 행복 연금보험</x:v>
      </x:c>
      <x:c r="N123" s="2" t="str">
        <x:f>VLOOKUP(M123,'분류기준'!$A$5:$B$8,2,FALSE)</x:f>
        <x:v>연금보험</x:v>
      </x:c>
      <x:c r="O123" s="2" t="str">
        <x:v>특약 없음</x:v>
      </x:c>
      <x:c r="P123" s="2" t="str">
        <x:f>IF(O123="선택 안함","선택 안함",IF(O123="특약 없음","특약 없음","가입"))</x:f>
        <x:v>특약 없음</x:v>
      </x:c>
      <x:c r="Q123" s="2" t="str">
        <x:f>IF(P123="가입","가입","미가입")</x:f>
        <x:v>미가입</x:v>
      </x:c>
    </x:row>
    <x:row r="124" ht="23" customHeight="1">
      <x:c r="A124" s="2" t="str">
        <x:v>C0969</x:v>
      </x:c>
      <x:c r="B124" s="7" t="n">
        <x:v>24</x:v>
      </x:c>
      <x:c r="C124" s="2" t="str">
        <x:f>INT(B124/10)*10&amp;"대"</x:f>
        <x:v>20대</x:v>
      </x:c>
      <x:c r="D124" s="2" t="str">
        <x:v>여성</x:v>
      </x:c>
      <x:c r="E124" s="7" t="n">
        <x:v>4000</x:v>
      </x:c>
      <x:c r="F124" s="7" t="n">
        <x:v>1</x:v>
      </x:c>
      <x:c r="G124" s="2" t="str">
        <x:v>미혼</x:v>
      </x:c>
      <x:c r="H124" s="7" t="n">
        <x:v>0</x:v>
      </x:c>
      <x:c r="I124" s="2" t="str">
        <x:f>IF(H124&lt;3,H124&amp;"명","3명 이상")</x:f>
        <x:v>0명</x:v>
      </x:c>
      <x:c r="J124" s="2" t="str">
        <x:v>비흡연</x:v>
      </x:c>
      <x:c r="K124" s="2" t="str">
        <x:v>없음</x:v>
      </x:c>
      <x:c r="L124" s="2" t="str">
        <x:v>없음</x:v>
      </x:c>
      <x:c r="M124" s="2" t="str">
        <x:v>수호천사 우리가족 종신보험</x:v>
      </x:c>
      <x:c r="N124" s="2" t="str">
        <x:f>VLOOKUP(M124,'분류기준'!$A$5:$B$8,2,FALSE)</x:f>
        <x:v>종신보험</x:v>
      </x:c>
      <x:c r="O124" s="2" t="str">
        <x:v>가족 수입 보장 특약</x:v>
      </x:c>
      <x:c r="P124" s="2" t="str">
        <x:f>IF(O124="선택 안함","선택 안함",IF(O124="특약 없음","특약 없음","가입"))</x:f>
        <x:v>가입</x:v>
      </x:c>
      <x:c r="Q124" s="2" t="str">
        <x:f>IF(P124="가입","가입","미가입")</x:f>
        <x:v>가입</x:v>
      </x:c>
    </x:row>
    <x:row r="125" ht="23" customHeight="1">
      <x:c r="A125" s="2" t="str">
        <x:v>C0990</x:v>
      </x:c>
      <x:c r="B125" s="7" t="n">
        <x:v>24</x:v>
      </x:c>
      <x:c r="C125" s="2" t="str">
        <x:f>INT(B125/10)*10&amp;"대"</x:f>
        <x:v>20대</x:v>
      </x:c>
      <x:c r="D125" s="2" t="str">
        <x:v>남성</x:v>
      </x:c>
      <x:c r="E125" s="7" t="n">
        <x:v>5000</x:v>
      </x:c>
      <x:c r="F125" s="7" t="n">
        <x:v>1</x:v>
      </x:c>
      <x:c r="G125" s="2" t="str">
        <x:v>미혼</x:v>
      </x:c>
      <x:c r="H125" s="7" t="n">
        <x:v>0</x:v>
      </x:c>
      <x:c r="I125" s="2" t="str">
        <x:f>IF(H125&lt;3,H125&amp;"명","3명 이상")</x:f>
        <x:v>0명</x:v>
      </x:c>
      <x:c r="J125" s="2" t="str">
        <x:v>비흡연</x:v>
      </x:c>
      <x:c r="K125" s="2" t="str">
        <x:v>없음</x:v>
      </x:c>
      <x:c r="L125" s="2" t="str">
        <x:v>없음</x:v>
      </x:c>
      <x:c r="M125" s="2" t="str">
        <x:v>수호천사 행복 연금보험</x:v>
      </x:c>
      <x:c r="N125" s="2" t="str">
        <x:f>VLOOKUP(M125,'분류기준'!$A$5:$B$8,2,FALSE)</x:f>
        <x:v>연금보험</x:v>
      </x:c>
      <x:c r="O125" s="2" t="str">
        <x:v>특약 없음</x:v>
      </x:c>
      <x:c r="P125" s="2" t="str">
        <x:f>IF(O125="선택 안함","선택 안함",IF(O125="특약 없음","특약 없음","가입"))</x:f>
        <x:v>특약 없음</x:v>
      </x:c>
      <x:c r="Q125" s="2" t="str">
        <x:f>IF(P125="가입","가입","미가입")</x:f>
        <x:v>미가입</x:v>
      </x:c>
    </x:row>
    <x:row r="126" ht="23" customHeight="1">
      <x:c r="A126" s="2" t="str">
        <x:v>C0061</x:v>
      </x:c>
      <x:c r="B126" s="7" t="n">
        <x:v>25</x:v>
      </x:c>
      <x:c r="C126" s="2" t="str">
        <x:f>INT(B126/10)*10&amp;"대"</x:f>
        <x:v>20대</x:v>
      </x:c>
      <x:c r="D126" s="2" t="str">
        <x:v>여성</x:v>
      </x:c>
      <x:c r="E126" s="7" t="n">
        <x:v>5000</x:v>
      </x:c>
      <x:c r="F126" s="7" t="n">
        <x:v>1</x:v>
      </x:c>
      <x:c r="G126" s="2" t="str">
        <x:v>미혼</x:v>
      </x:c>
      <x:c r="H126" s="7" t="n">
        <x:v>0</x:v>
      </x:c>
      <x:c r="I126" s="2" t="str">
        <x:f>IF(H126&lt;3,H126&amp;"명","3명 이상")</x:f>
        <x:v>0명</x:v>
      </x:c>
      <x:c r="J126" s="2" t="str">
        <x:v>비흡연</x:v>
      </x:c>
      <x:c r="K126" s="2" t="str">
        <x:v>없음</x:v>
      </x:c>
      <x:c r="L126" s="2" t="str">
        <x:v>암</x:v>
      </x:c>
      <x:c r="M126" s="2" t="str">
        <x:v>수호천사 암/건강보험</x:v>
      </x:c>
      <x:c r="N126" s="2" t="str">
        <x:f>VLOOKUP(M126,'분류기준'!$A$5:$B$8,2,FALSE)</x:f>
        <x:v>암/건강보험</x:v>
      </x:c>
      <x:c r="O126" s="2" t="str">
        <x:v>표적항암약물허가치료 특약</x:v>
      </x:c>
      <x:c r="P126" s="2" t="str">
        <x:f>IF(O126="선택 안함","선택 안함",IF(O126="특약 없음","특약 없음","가입"))</x:f>
        <x:v>가입</x:v>
      </x:c>
      <x:c r="Q126" s="2" t="str">
        <x:f>IF(P126="가입","가입","미가입")</x:f>
        <x:v>가입</x:v>
      </x:c>
    </x:row>
    <x:row r="127" ht="23" customHeight="1">
      <x:c r="A127" s="2" t="str">
        <x:v>C0163</x:v>
      </x:c>
      <x:c r="B127" s="7" t="n">
        <x:v>25</x:v>
      </x:c>
      <x:c r="C127" s="2" t="str">
        <x:f>INT(B127/10)*10&amp;"대"</x:f>
        <x:v>20대</x:v>
      </x:c>
      <x:c r="D127" s="2" t="str">
        <x:v>여성</x:v>
      </x:c>
      <x:c r="E127" s="7" t="n">
        <x:v>5000</x:v>
      </x:c>
      <x:c r="F127" s="7" t="n">
        <x:v>2</x:v>
      </x:c>
      <x:c r="G127" s="2" t="str">
        <x:v>미혼</x:v>
      </x:c>
      <x:c r="H127" s="7" t="n">
        <x:v>0</x:v>
      </x:c>
      <x:c r="I127" s="2" t="str">
        <x:f>IF(H127&lt;3,H127&amp;"명","3명 이상")</x:f>
        <x:v>0명</x:v>
      </x:c>
      <x:c r="J127" s="2" t="str">
        <x:v>비흡연</x:v>
      </x:c>
      <x:c r="K127" s="2" t="str">
        <x:v>없음</x:v>
      </x:c>
      <x:c r="L127" s="2" t="str">
        <x:v>암</x:v>
      </x:c>
      <x:c r="M127" s="2" t="str">
        <x:v>수호천사 행복 연금보험</x:v>
      </x:c>
      <x:c r="N127" s="2" t="str">
        <x:f>VLOOKUP(M127,'분류기준'!$A$5:$B$8,2,FALSE)</x:f>
        <x:v>연금보험</x:v>
      </x:c>
      <x:c r="O127" s="2" t="str">
        <x:v>특약 없음</x:v>
      </x:c>
      <x:c r="P127" s="2" t="str">
        <x:f>IF(O127="선택 안함","선택 안함",IF(O127="특약 없음","특약 없음","가입"))</x:f>
        <x:v>특약 없음</x:v>
      </x:c>
      <x:c r="Q127" s="2" t="str">
        <x:f>IF(P127="가입","가입","미가입")</x:f>
        <x:v>미가입</x:v>
      </x:c>
    </x:row>
    <x:row r="128" ht="23" customHeight="1">
      <x:c r="A128" s="2" t="str">
        <x:v>C0181</x:v>
      </x:c>
      <x:c r="B128" s="7" t="n">
        <x:v>25</x:v>
      </x:c>
      <x:c r="C128" s="2" t="str">
        <x:f>INT(B128/10)*10&amp;"대"</x:f>
        <x:v>20대</x:v>
      </x:c>
      <x:c r="D128" s="2" t="str">
        <x:v>여성</x:v>
      </x:c>
      <x:c r="E128" s="7" t="n">
        <x:v>7500</x:v>
      </x:c>
      <x:c r="F128" s="7" t="n">
        <x:v>1</x:v>
      </x:c>
      <x:c r="G128" s="2" t="str">
        <x:v>미혼</x:v>
      </x:c>
      <x:c r="H128" s="7" t="n">
        <x:v>0</x:v>
      </x:c>
      <x:c r="I128" s="2" t="str">
        <x:f>IF(H128&lt;3,H128&amp;"명","3명 이상")</x:f>
        <x:v>0명</x:v>
      </x:c>
      <x:c r="J128" s="2" t="str">
        <x:v>비흡연</x:v>
      </x:c>
      <x:c r="K128" s="2" t="str">
        <x:v>없음</x:v>
      </x:c>
      <x:c r="L128" s="2" t="str">
        <x:v>없음</x:v>
      </x:c>
      <x:c r="M128" s="2" t="str">
        <x:v>수호천사 행복 연금보험</x:v>
      </x:c>
      <x:c r="N128" s="2" t="str">
        <x:f>VLOOKUP(M128,'분류기준'!$A$5:$B$8,2,FALSE)</x:f>
        <x:v>연금보험</x:v>
      </x:c>
      <x:c r="O128" s="2" t="str">
        <x:v>특약 없음</x:v>
      </x:c>
      <x:c r="P128" s="2" t="str">
        <x:f>IF(O128="선택 안함","선택 안함",IF(O128="특약 없음","특약 없음","가입"))</x:f>
        <x:v>특약 없음</x:v>
      </x:c>
      <x:c r="Q128" s="2" t="str">
        <x:f>IF(P128="가입","가입","미가입")</x:f>
        <x:v>미가입</x:v>
      </x:c>
    </x:row>
    <x:row r="129" ht="23" customHeight="1">
      <x:c r="A129" s="2" t="str">
        <x:v>C0214</x:v>
      </x:c>
      <x:c r="B129" s="7" t="n">
        <x:v>25</x:v>
      </x:c>
      <x:c r="C129" s="2" t="str">
        <x:f>INT(B129/10)*10&amp;"대"</x:f>
        <x:v>20대</x:v>
      </x:c>
      <x:c r="D129" s="2" t="str">
        <x:v>여성</x:v>
      </x:c>
      <x:c r="E129" s="7" t="n">
        <x:v>3000</x:v>
      </x:c>
      <x:c r="F129" s="7" t="n">
        <x:v>1</x:v>
      </x:c>
      <x:c r="G129" s="2" t="str">
        <x:v>미혼</x:v>
      </x:c>
      <x:c r="H129" s="7" t="n">
        <x:v>0</x:v>
      </x:c>
      <x:c r="I129" s="2" t="str">
        <x:f>IF(H129&lt;3,H129&amp;"명","3명 이상")</x:f>
        <x:v>0명</x:v>
      </x:c>
      <x:c r="J129" s="2" t="str">
        <x:v>비흡연</x:v>
      </x:c>
      <x:c r="K129" s="2" t="str">
        <x:v>없음</x:v>
      </x:c>
      <x:c r="L129" s="2" t="str">
        <x:v>없음</x:v>
      </x:c>
      <x:c r="M129" s="2" t="str">
        <x:v>수호천사 행복 연금보험</x:v>
      </x:c>
      <x:c r="N129" s="2" t="str">
        <x:f>VLOOKUP(M129,'분류기준'!$A$5:$B$8,2,FALSE)</x:f>
        <x:v>연금보험</x:v>
      </x:c>
      <x:c r="O129" s="2" t="str">
        <x:v>특약 없음</x:v>
      </x:c>
      <x:c r="P129" s="2" t="str">
        <x:f>IF(O129="선택 안함","선택 안함",IF(O129="특약 없음","특약 없음","가입"))</x:f>
        <x:v>특약 없음</x:v>
      </x:c>
      <x:c r="Q129" s="2" t="str">
        <x:f>IF(P129="가입","가입","미가입")</x:f>
        <x:v>미가입</x:v>
      </x:c>
    </x:row>
    <x:row r="130" ht="23" customHeight="1">
      <x:c r="A130" s="2" t="str">
        <x:v>C0223</x:v>
      </x:c>
      <x:c r="B130" s="7" t="n">
        <x:v>25</x:v>
      </x:c>
      <x:c r="C130" s="2" t="str">
        <x:f>INT(B130/10)*10&amp;"대"</x:f>
        <x:v>20대</x:v>
      </x:c>
      <x:c r="D130" s="2" t="str">
        <x:v>남성</x:v>
      </x:c>
      <x:c r="E130" s="7" t="n">
        <x:v>5000</x:v>
      </x:c>
      <x:c r="F130" s="7" t="n">
        <x:v>2</x:v>
      </x:c>
      <x:c r="G130" s="2" t="str">
        <x:v>미혼</x:v>
      </x:c>
      <x:c r="H130" s="7" t="n">
        <x:v>0</x:v>
      </x:c>
      <x:c r="I130" s="2" t="str">
        <x:f>IF(H130&lt;3,H130&amp;"명","3명 이상")</x:f>
        <x:v>0명</x:v>
      </x:c>
      <x:c r="J130" s="2" t="str">
        <x:v>흡연</x:v>
      </x:c>
      <x:c r="K130" s="2" t="str">
        <x:v>없음</x:v>
      </x:c>
      <x:c r="L130" s="2" t="str">
        <x:v>암</x:v>
      </x:c>
      <x:c r="M130" s="2" t="str">
        <x:v>수호천사 암/건강보험</x:v>
      </x:c>
      <x:c r="N130" s="2" t="str">
        <x:f>VLOOKUP(M130,'분류기준'!$A$5:$B$8,2,FALSE)</x:f>
        <x:v>암/건강보험</x:v>
      </x:c>
      <x:c r="O130" s="2" t="str">
        <x:v>수술비 보장 특약</x:v>
      </x:c>
      <x:c r="P130" s="2" t="str">
        <x:f>IF(O130="선택 안함","선택 안함",IF(O130="특약 없음","특약 없음","가입"))</x:f>
        <x:v>가입</x:v>
      </x:c>
      <x:c r="Q130" s="2" t="str">
        <x:f>IF(P130="가입","가입","미가입")</x:f>
        <x:v>가입</x:v>
      </x:c>
    </x:row>
    <x:row r="131" ht="23" customHeight="1">
      <x:c r="A131" s="2" t="str">
        <x:v>C0229</x:v>
      </x:c>
      <x:c r="B131" s="7" t="n">
        <x:v>25</x:v>
      </x:c>
      <x:c r="C131" s="2" t="str">
        <x:f>INT(B131/10)*10&amp;"대"</x:f>
        <x:v>20대</x:v>
      </x:c>
      <x:c r="D131" s="2" t="str">
        <x:v>남성</x:v>
      </x:c>
      <x:c r="E131" s="7" t="n">
        <x:v>3000</x:v>
      </x:c>
      <x:c r="F131" s="7" t="n">
        <x:v>1</x:v>
      </x:c>
      <x:c r="G131" s="2" t="str">
        <x:v>미혼</x:v>
      </x:c>
      <x:c r="H131" s="7" t="n">
        <x:v>0</x:v>
      </x:c>
      <x:c r="I131" s="2" t="str">
        <x:f>IF(H131&lt;3,H131&amp;"명","3명 이상")</x:f>
        <x:v>0명</x:v>
      </x:c>
      <x:c r="J131" s="2" t="str">
        <x:v>비흡연</x:v>
      </x:c>
      <x:c r="K131" s="2" t="str">
        <x:v>없음</x:v>
      </x:c>
      <x:c r="L131" s="2" t="str">
        <x:v>없음</x:v>
      </x:c>
      <x:c r="M131" s="2" t="str">
        <x:v>수호천사 간편심사(유병자)보험</x:v>
      </x:c>
      <x:c r="N131" s="2" t="str">
        <x:f>VLOOKUP(M131,'분류기준'!$A$5:$B$8,2,FALSE)</x:f>
        <x:v>간편심사보험</x:v>
      </x:c>
      <x:c r="O131" s="2" t="str">
        <x:v>중증질환 산정특례 보장 특약</x:v>
      </x:c>
      <x:c r="P131" s="2" t="str">
        <x:f>IF(O131="선택 안함","선택 안함",IF(O131="특약 없음","특약 없음","가입"))</x:f>
        <x:v>가입</x:v>
      </x:c>
      <x:c r="Q131" s="2" t="str">
        <x:f>IF(P131="가입","가입","미가입")</x:f>
        <x:v>가입</x:v>
      </x:c>
    </x:row>
    <x:row r="132" ht="23" customHeight="1">
      <x:c r="A132" s="2" t="str">
        <x:v>C0333</x:v>
      </x:c>
      <x:c r="B132" s="7" t="n">
        <x:v>25</x:v>
      </x:c>
      <x:c r="C132" s="2" t="str">
        <x:f>INT(B132/10)*10&amp;"대"</x:f>
        <x:v>20대</x:v>
      </x:c>
      <x:c r="D132" s="2" t="str">
        <x:v>남성</x:v>
      </x:c>
      <x:c r="E132" s="7" t="n">
        <x:v>3000</x:v>
      </x:c>
      <x:c r="F132" s="7" t="n">
        <x:v>1</x:v>
      </x:c>
      <x:c r="G132" s="2" t="str">
        <x:v>미혼</x:v>
      </x:c>
      <x:c r="H132" s="7" t="n">
        <x:v>0</x:v>
      </x:c>
      <x:c r="I132" s="2" t="str">
        <x:f>IF(H132&lt;3,H132&amp;"명","3명 이상")</x:f>
        <x:v>0명</x:v>
      </x:c>
      <x:c r="J132" s="2" t="str">
        <x:v>비흡연</x:v>
      </x:c>
      <x:c r="K132" s="2" t="str">
        <x:v>없음</x:v>
      </x:c>
      <x:c r="L132" s="2" t="str">
        <x:v>없음</x:v>
      </x:c>
      <x:c r="M132" s="2" t="str">
        <x:v>수호천사 행복 연금보험</x:v>
      </x:c>
      <x:c r="N132" s="2" t="str">
        <x:f>VLOOKUP(M132,'분류기준'!$A$5:$B$8,2,FALSE)</x:f>
        <x:v>연금보험</x:v>
      </x:c>
      <x:c r="O132" s="2" t="str">
        <x:v>특약 없음</x:v>
      </x:c>
      <x:c r="P132" s="2" t="str">
        <x:f>IF(O132="선택 안함","선택 안함",IF(O132="특약 없음","특약 없음","가입"))</x:f>
        <x:v>특약 없음</x:v>
      </x:c>
      <x:c r="Q132" s="2" t="str">
        <x:f>IF(P132="가입","가입","미가입")</x:f>
        <x:v>미가입</x:v>
      </x:c>
    </x:row>
    <x:row r="133" ht="23" customHeight="1">
      <x:c r="A133" s="2" t="str">
        <x:v>C0399</x:v>
      </x:c>
      <x:c r="B133" s="7" t="n">
        <x:v>25</x:v>
      </x:c>
      <x:c r="C133" s="2" t="str">
        <x:f>INT(B133/10)*10&amp;"대"</x:f>
        <x:v>20대</x:v>
      </x:c>
      <x:c r="D133" s="2" t="str">
        <x:v>여성</x:v>
      </x:c>
      <x:c r="E133" s="7" t="n">
        <x:v>4000</x:v>
      </x:c>
      <x:c r="F133" s="7" t="n">
        <x:v>3</x:v>
      </x:c>
      <x:c r="G133" s="2" t="str">
        <x:v>미혼</x:v>
      </x:c>
      <x:c r="H133" s="7" t="n">
        <x:v>0</x:v>
      </x:c>
      <x:c r="I133" s="2" t="str">
        <x:f>IF(H133&lt;3,H133&amp;"명","3명 이상")</x:f>
        <x:v>0명</x:v>
      </x:c>
      <x:c r="J133" s="2" t="str">
        <x:v>비흡연</x:v>
      </x:c>
      <x:c r="K133" s="2" t="str">
        <x:v>없음</x:v>
      </x:c>
      <x:c r="L133" s="2" t="str">
        <x:v>없음</x:v>
      </x:c>
      <x:c r="M133" s="2" t="str">
        <x:v>수호천사 암/건강보험</x:v>
      </x:c>
      <x:c r="N133" s="2" t="str">
        <x:f>VLOOKUP(M133,'분류기준'!$A$5:$B$8,2,FALSE)</x:f>
        <x:v>암/건강보험</x:v>
      </x:c>
      <x:c r="O133" s="2" t="str">
        <x:v>표적항암약물허가치료 특약</x:v>
      </x:c>
      <x:c r="P133" s="2" t="str">
        <x:f>IF(O133="선택 안함","선택 안함",IF(O133="특약 없음","특약 없음","가입"))</x:f>
        <x:v>가입</x:v>
      </x:c>
      <x:c r="Q133" s="2" t="str">
        <x:f>IF(P133="가입","가입","미가입")</x:f>
        <x:v>가입</x:v>
      </x:c>
    </x:row>
    <x:row r="134" ht="23" customHeight="1">
      <x:c r="A134" s="2" t="str">
        <x:v>C0410</x:v>
      </x:c>
      <x:c r="B134" s="7" t="n">
        <x:v>25</x:v>
      </x:c>
      <x:c r="C134" s="2" t="str">
        <x:f>INT(B134/10)*10&amp;"대"</x:f>
        <x:v>20대</x:v>
      </x:c>
      <x:c r="D134" s="2" t="str">
        <x:v>여성</x:v>
      </x:c>
      <x:c r="E134" s="7" t="n">
        <x:v>3000</x:v>
      </x:c>
      <x:c r="F134" s="7" t="n">
        <x:v>1</x:v>
      </x:c>
      <x:c r="G134" s="2" t="str">
        <x:v>미혼</x:v>
      </x:c>
      <x:c r="H134" s="7" t="n">
        <x:v>0</x:v>
      </x:c>
      <x:c r="I134" s="2" t="str">
        <x:f>IF(H134&lt;3,H134&amp;"명","3명 이상")</x:f>
        <x:v>0명</x:v>
      </x:c>
      <x:c r="J134" s="2" t="str">
        <x:v>비흡연</x:v>
      </x:c>
      <x:c r="K134" s="2" t="str">
        <x:v>없음</x:v>
      </x:c>
      <x:c r="L134" s="2" t="str">
        <x:v>없음</x:v>
      </x:c>
      <x:c r="M134" s="2" t="str">
        <x:v>수호천사 행복 연금보험</x:v>
      </x:c>
      <x:c r="N134" s="2" t="str">
        <x:f>VLOOKUP(M134,'분류기준'!$A$5:$B$8,2,FALSE)</x:f>
        <x:v>연금보험</x:v>
      </x:c>
      <x:c r="O134" s="2" t="str">
        <x:v>특약 없음</x:v>
      </x:c>
      <x:c r="P134" s="2" t="str">
        <x:f>IF(O134="선택 안함","선택 안함",IF(O134="특약 없음","특약 없음","가입"))</x:f>
        <x:v>특약 없음</x:v>
      </x:c>
      <x:c r="Q134" s="2" t="str">
        <x:f>IF(P134="가입","가입","미가입")</x:f>
        <x:v>미가입</x:v>
      </x:c>
    </x:row>
    <x:row r="135" ht="23" customHeight="1">
      <x:c r="A135" s="2" t="str">
        <x:v>C0617</x:v>
      </x:c>
      <x:c r="B135" s="7" t="n">
        <x:v>25</x:v>
      </x:c>
      <x:c r="C135" s="2" t="str">
        <x:f>INT(B135/10)*10&amp;"대"</x:f>
        <x:v>20대</x:v>
      </x:c>
      <x:c r="D135" s="2" t="str">
        <x:v>남성</x:v>
      </x:c>
      <x:c r="E135" s="7" t="n">
        <x:v>5000</x:v>
      </x:c>
      <x:c r="F135" s="7" t="n">
        <x:v>2</x:v>
      </x:c>
      <x:c r="G135" s="2" t="str">
        <x:v>미혼</x:v>
      </x:c>
      <x:c r="H135" s="7" t="n">
        <x:v>0</x:v>
      </x:c>
      <x:c r="I135" s="2" t="str">
        <x:f>IF(H135&lt;3,H135&amp;"명","3명 이상")</x:f>
        <x:v>0명</x:v>
      </x:c>
      <x:c r="J135" s="2" t="str">
        <x:v>비흡연</x:v>
      </x:c>
      <x:c r="K135" s="2" t="str">
        <x:v>당뇨</x:v>
      </x:c>
      <x:c r="L135" s="2" t="str">
        <x:v>없음</x:v>
      </x:c>
      <x:c r="M135" s="2" t="str">
        <x:v>수호천사 간편심사(유병자)보험</x:v>
      </x:c>
      <x:c r="N135" s="2" t="str">
        <x:f>VLOOKUP(M135,'분류기준'!$A$5:$B$8,2,FALSE)</x:f>
        <x:v>간편심사보험</x:v>
      </x:c>
      <x:c r="O135" s="2" t="str">
        <x:v>중증질환 산정특례 보장 특약</x:v>
      </x:c>
      <x:c r="P135" s="2" t="str">
        <x:f>IF(O135="선택 안함","선택 안함",IF(O135="특약 없음","특약 없음","가입"))</x:f>
        <x:v>가입</x:v>
      </x:c>
      <x:c r="Q135" s="2" t="str">
        <x:f>IF(P135="가입","가입","미가입")</x:f>
        <x:v>가입</x:v>
      </x:c>
    </x:row>
    <x:row r="136" ht="23" customHeight="1">
      <x:c r="A136" s="2" t="str">
        <x:v>C0643</x:v>
      </x:c>
      <x:c r="B136" s="7" t="n">
        <x:v>25</x:v>
      </x:c>
      <x:c r="C136" s="2" t="str">
        <x:f>INT(B136/10)*10&amp;"대"</x:f>
        <x:v>20대</x:v>
      </x:c>
      <x:c r="D136" s="2" t="str">
        <x:v>여성</x:v>
      </x:c>
      <x:c r="E136" s="7" t="n">
        <x:v>9000</x:v>
      </x:c>
      <x:c r="F136" s="7" t="n">
        <x:v>1</x:v>
      </x:c>
      <x:c r="G136" s="2" t="str">
        <x:v>미혼</x:v>
      </x:c>
      <x:c r="H136" s="7" t="n">
        <x:v>0</x:v>
      </x:c>
      <x:c r="I136" s="2" t="str">
        <x:f>IF(H136&lt;3,H136&amp;"명","3명 이상")</x:f>
        <x:v>0명</x:v>
      </x:c>
      <x:c r="J136" s="2" t="str">
        <x:v>비흡연</x:v>
      </x:c>
      <x:c r="K136" s="2" t="str">
        <x:v>없음</x:v>
      </x:c>
      <x:c r="L136" s="2" t="str">
        <x:v>없음</x:v>
      </x:c>
      <x:c r="M136" s="2" t="str">
        <x:v>수호천사 행복 연금보험</x:v>
      </x:c>
      <x:c r="N136" s="2" t="str">
        <x:f>VLOOKUP(M136,'분류기준'!$A$5:$B$8,2,FALSE)</x:f>
        <x:v>연금보험</x:v>
      </x:c>
      <x:c r="O136" s="2" t="str">
        <x:v>특약 없음</x:v>
      </x:c>
      <x:c r="P136" s="2" t="str">
        <x:f>IF(O136="선택 안함","선택 안함",IF(O136="특약 없음","특약 없음","가입"))</x:f>
        <x:v>특약 없음</x:v>
      </x:c>
      <x:c r="Q136" s="2" t="str">
        <x:f>IF(P136="가입","가입","미가입")</x:f>
        <x:v>미가입</x:v>
      </x:c>
    </x:row>
    <x:row r="137" ht="23" customHeight="1">
      <x:c r="A137" s="2" t="str">
        <x:v>C0697</x:v>
      </x:c>
      <x:c r="B137" s="7" t="n">
        <x:v>25</x:v>
      </x:c>
      <x:c r="C137" s="2" t="str">
        <x:f>INT(B137/10)*10&amp;"대"</x:f>
        <x:v>20대</x:v>
      </x:c>
      <x:c r="D137" s="2" t="str">
        <x:v>남성</x:v>
      </x:c>
      <x:c r="E137" s="7" t="n">
        <x:v>4000</x:v>
      </x:c>
      <x:c r="F137" s="7" t="n">
        <x:v>1</x:v>
      </x:c>
      <x:c r="G137" s="2" t="str">
        <x:v>미혼</x:v>
      </x:c>
      <x:c r="H137" s="7" t="n">
        <x:v>0</x:v>
      </x:c>
      <x:c r="I137" s="2" t="str">
        <x:f>IF(H137&lt;3,H137&amp;"명","3명 이상")</x:f>
        <x:v>0명</x:v>
      </x:c>
      <x:c r="J137" s="2" t="str">
        <x:v>비흡연</x:v>
      </x:c>
      <x:c r="K137" s="2" t="str">
        <x:v>없음</x:v>
      </x:c>
      <x:c r="L137" s="2" t="str">
        <x:v>없음</x:v>
      </x:c>
      <x:c r="M137" s="2" t="str">
        <x:v>수호천사 행복 연금보험</x:v>
      </x:c>
      <x:c r="N137" s="2" t="str">
        <x:f>VLOOKUP(M137,'분류기준'!$A$5:$B$8,2,FALSE)</x:f>
        <x:v>연금보험</x:v>
      </x:c>
      <x:c r="O137" s="2" t="str">
        <x:v>특약 없음</x:v>
      </x:c>
      <x:c r="P137" s="2" t="str">
        <x:f>IF(O137="선택 안함","선택 안함",IF(O137="특약 없음","특약 없음","가입"))</x:f>
        <x:v>특약 없음</x:v>
      </x:c>
      <x:c r="Q137" s="2" t="str">
        <x:f>IF(P137="가입","가입","미가입")</x:f>
        <x:v>미가입</x:v>
      </x:c>
    </x:row>
    <x:row r="138" ht="23" customHeight="1">
      <x:c r="A138" s="2" t="str">
        <x:v>C0723</x:v>
      </x:c>
      <x:c r="B138" s="7" t="n">
        <x:v>25</x:v>
      </x:c>
      <x:c r="C138" s="2" t="str">
        <x:f>INT(B138/10)*10&amp;"대"</x:f>
        <x:v>20대</x:v>
      </x:c>
      <x:c r="D138" s="2" t="str">
        <x:v>남성</x:v>
      </x:c>
      <x:c r="E138" s="7" t="n">
        <x:v>7500</x:v>
      </x:c>
      <x:c r="F138" s="7" t="n">
        <x:v>2</x:v>
      </x:c>
      <x:c r="G138" s="2" t="str">
        <x:v>미혼</x:v>
      </x:c>
      <x:c r="H138" s="7" t="n">
        <x:v>0</x:v>
      </x:c>
      <x:c r="I138" s="2" t="str">
        <x:f>IF(H138&lt;3,H138&amp;"명","3명 이상")</x:f>
        <x:v>0명</x:v>
      </x:c>
      <x:c r="J138" s="2" t="str">
        <x:v>비흡연</x:v>
      </x:c>
      <x:c r="K138" s="2" t="str">
        <x:v>없음</x:v>
      </x:c>
      <x:c r="L138" s="2" t="str">
        <x:v>심혈관</x:v>
      </x:c>
      <x:c r="M138" s="2" t="str">
        <x:v>수호천사 행복 연금보험</x:v>
      </x:c>
      <x:c r="N138" s="2" t="str">
        <x:f>VLOOKUP(M138,'분류기준'!$A$5:$B$8,2,FALSE)</x:f>
        <x:v>연금보험</x:v>
      </x:c>
      <x:c r="O138" s="2" t="str">
        <x:v>특약 없음</x:v>
      </x:c>
      <x:c r="P138" s="2" t="str">
        <x:f>IF(O138="선택 안함","선택 안함",IF(O138="특약 없음","특약 없음","가입"))</x:f>
        <x:v>특약 없음</x:v>
      </x:c>
      <x:c r="Q138" s="2" t="str">
        <x:f>IF(P138="가입","가입","미가입")</x:f>
        <x:v>미가입</x:v>
      </x:c>
    </x:row>
    <x:row r="139" ht="23" customHeight="1">
      <x:c r="A139" s="2" t="str">
        <x:v>C0799</x:v>
      </x:c>
      <x:c r="B139" s="7" t="n">
        <x:v>25</x:v>
      </x:c>
      <x:c r="C139" s="2" t="str">
        <x:f>INT(B139/10)*10&amp;"대"</x:f>
        <x:v>20대</x:v>
      </x:c>
      <x:c r="D139" s="2" t="str">
        <x:v>남성</x:v>
      </x:c>
      <x:c r="E139" s="7" t="n">
        <x:v>5000</x:v>
      </x:c>
      <x:c r="F139" s="7" t="n">
        <x:v>1</x:v>
      </x:c>
      <x:c r="G139" s="2" t="str">
        <x:v>미혼</x:v>
      </x:c>
      <x:c r="H139" s="7" t="n">
        <x:v>0</x:v>
      </x:c>
      <x:c r="I139" s="2" t="str">
        <x:f>IF(H139&lt;3,H139&amp;"명","3명 이상")</x:f>
        <x:v>0명</x:v>
      </x:c>
      <x:c r="J139" s="2" t="str">
        <x:v>비흡연</x:v>
      </x:c>
      <x:c r="K139" s="2" t="str">
        <x:v>당뇨</x:v>
      </x:c>
      <x:c r="L139" s="2" t="str">
        <x:v>없음</x:v>
      </x:c>
      <x:c r="M139" s="2" t="str">
        <x:v>수호천사 간편심사(유병자)보험</x:v>
      </x:c>
      <x:c r="N139" s="2" t="str">
        <x:f>VLOOKUP(M139,'분류기준'!$A$5:$B$8,2,FALSE)</x:f>
        <x:v>간편심사보험</x:v>
      </x:c>
      <x:c r="O139" s="2" t="str">
        <x:v>선택 안함</x:v>
      </x:c>
      <x:c r="P139" s="2" t="str">
        <x:f>IF(O139="선택 안함","선택 안함",IF(O139="특약 없음","특약 없음","가입"))</x:f>
        <x:v>선택 안함</x:v>
      </x:c>
      <x:c r="Q139" s="2" t="str">
        <x:f>IF(P139="가입","가입","미가입")</x:f>
        <x:v>미가입</x:v>
      </x:c>
    </x:row>
    <x:row r="140" ht="23" customHeight="1">
      <x:c r="A140" s="2" t="str">
        <x:v>C0829</x:v>
      </x:c>
      <x:c r="B140" s="7" t="n">
        <x:v>25</x:v>
      </x:c>
      <x:c r="C140" s="2" t="str">
        <x:f>INT(B140/10)*10&amp;"대"</x:f>
        <x:v>20대</x:v>
      </x:c>
      <x:c r="D140" s="2" t="str">
        <x:v>여성</x:v>
      </x:c>
      <x:c r="E140" s="7" t="n">
        <x:v>5000</x:v>
      </x:c>
      <x:c r="F140" s="7" t="n">
        <x:v>1</x:v>
      </x:c>
      <x:c r="G140" s="2" t="str">
        <x:v>미혼</x:v>
      </x:c>
      <x:c r="H140" s="7" t="n">
        <x:v>0</x:v>
      </x:c>
      <x:c r="I140" s="2" t="str">
        <x:f>IF(H140&lt;3,H140&amp;"명","3명 이상")</x:f>
        <x:v>0명</x:v>
      </x:c>
      <x:c r="J140" s="2" t="str">
        <x:v>비흡연</x:v>
      </x:c>
      <x:c r="K140" s="2" t="str">
        <x:v>없음</x:v>
      </x:c>
      <x:c r="L140" s="2" t="str">
        <x:v>암</x:v>
      </x:c>
      <x:c r="M140" s="2" t="str">
        <x:v>수호천사 암/건강보험</x:v>
      </x:c>
      <x:c r="N140" s="2" t="str">
        <x:f>VLOOKUP(M140,'분류기준'!$A$5:$B$8,2,FALSE)</x:f>
        <x:v>암/건강보험</x:v>
      </x:c>
      <x:c r="O140" s="2" t="str">
        <x:v>표적항암약물허가치료 특약</x:v>
      </x:c>
      <x:c r="P140" s="2" t="str">
        <x:f>IF(O140="선택 안함","선택 안함",IF(O140="특약 없음","특약 없음","가입"))</x:f>
        <x:v>가입</x:v>
      </x:c>
      <x:c r="Q140" s="2" t="str">
        <x:f>IF(P140="가입","가입","미가입")</x:f>
        <x:v>가입</x:v>
      </x:c>
    </x:row>
    <x:row r="141" ht="23" customHeight="1">
      <x:c r="A141" s="2" t="str">
        <x:v>C0905</x:v>
      </x:c>
      <x:c r="B141" s="7" t="n">
        <x:v>25</x:v>
      </x:c>
      <x:c r="C141" s="2" t="str">
        <x:f>INT(B141/10)*10&amp;"대"</x:f>
        <x:v>20대</x:v>
      </x:c>
      <x:c r="D141" s="2" t="str">
        <x:v>남성</x:v>
      </x:c>
      <x:c r="E141" s="7" t="n">
        <x:v>3000</x:v>
      </x:c>
      <x:c r="F141" s="7" t="n">
        <x:v>1</x:v>
      </x:c>
      <x:c r="G141" s="2" t="str">
        <x:v>미혼</x:v>
      </x:c>
      <x:c r="H141" s="7" t="n">
        <x:v>0</x:v>
      </x:c>
      <x:c r="I141" s="2" t="str">
        <x:f>IF(H141&lt;3,H141&amp;"명","3명 이상")</x:f>
        <x:v>0명</x:v>
      </x:c>
      <x:c r="J141" s="2" t="str">
        <x:v>비흡연</x:v>
      </x:c>
      <x:c r="K141" s="2" t="str">
        <x:v>없음</x:v>
      </x:c>
      <x:c r="L141" s="2" t="str">
        <x:v>심혈관</x:v>
      </x:c>
      <x:c r="M141" s="2" t="str">
        <x:v>수호천사 암/건강보험</x:v>
      </x:c>
      <x:c r="N141" s="2" t="str">
        <x:f>VLOOKUP(M141,'분류기준'!$A$5:$B$8,2,FALSE)</x:f>
        <x:v>암/건강보험</x:v>
      </x:c>
      <x:c r="O141" s="2" t="str">
        <x:v>수술비 보장 특약</x:v>
      </x:c>
      <x:c r="P141" s="2" t="str">
        <x:f>IF(O141="선택 안함","선택 안함",IF(O141="특약 없음","특약 없음","가입"))</x:f>
        <x:v>가입</x:v>
      </x:c>
      <x:c r="Q141" s="2" t="str">
        <x:f>IF(P141="가입","가입","미가입")</x:f>
        <x:v>가입</x:v>
      </x:c>
    </x:row>
    <x:row r="142" ht="23" customHeight="1">
      <x:c r="A142" s="2" t="str">
        <x:v>C0909</x:v>
      </x:c>
      <x:c r="B142" s="7" t="n">
        <x:v>25</x:v>
      </x:c>
      <x:c r="C142" s="2" t="str">
        <x:f>INT(B142/10)*10&amp;"대"</x:f>
        <x:v>20대</x:v>
      </x:c>
      <x:c r="D142" s="2" t="str">
        <x:v>남성</x:v>
      </x:c>
      <x:c r="E142" s="7" t="n">
        <x:v>6000</x:v>
      </x:c>
      <x:c r="F142" s="7" t="n">
        <x:v>1</x:v>
      </x:c>
      <x:c r="G142" s="2" t="str">
        <x:v>미혼</x:v>
      </x:c>
      <x:c r="H142" s="7" t="n">
        <x:v>0</x:v>
      </x:c>
      <x:c r="I142" s="2" t="str">
        <x:f>IF(H142&lt;3,H142&amp;"명","3명 이상")</x:f>
        <x:v>0명</x:v>
      </x:c>
      <x:c r="J142" s="2" t="str">
        <x:v>비흡연</x:v>
      </x:c>
      <x:c r="K142" s="2" t="str">
        <x:v>없음</x:v>
      </x:c>
      <x:c r="L142" s="2" t="str">
        <x:v>없음</x:v>
      </x:c>
      <x:c r="M142" s="2" t="str">
        <x:v>수호천사 행복 연금보험</x:v>
      </x:c>
      <x:c r="N142" s="2" t="str">
        <x:f>VLOOKUP(M142,'분류기준'!$A$5:$B$8,2,FALSE)</x:f>
        <x:v>연금보험</x:v>
      </x:c>
      <x:c r="O142" s="2" t="str">
        <x:v>특약 없음</x:v>
      </x:c>
      <x:c r="P142" s="2" t="str">
        <x:f>IF(O142="선택 안함","선택 안함",IF(O142="특약 없음","특약 없음","가입"))</x:f>
        <x:v>특약 없음</x:v>
      </x:c>
      <x:c r="Q142" s="2" t="str">
        <x:f>IF(P142="가입","가입","미가입")</x:f>
        <x:v>미가입</x:v>
      </x:c>
    </x:row>
    <x:row r="143" ht="23" customHeight="1">
      <x:c r="A143" s="2" t="str">
        <x:v>C0914</x:v>
      </x:c>
      <x:c r="B143" s="7" t="n">
        <x:v>25</x:v>
      </x:c>
      <x:c r="C143" s="2" t="str">
        <x:f>INT(B143/10)*10&amp;"대"</x:f>
        <x:v>20대</x:v>
      </x:c>
      <x:c r="D143" s="2" t="str">
        <x:v>여성</x:v>
      </x:c>
      <x:c r="E143" s="7" t="n">
        <x:v>4000</x:v>
      </x:c>
      <x:c r="F143" s="7" t="n">
        <x:v>3</x:v>
      </x:c>
      <x:c r="G143" s="2" t="str">
        <x:v>미혼</x:v>
      </x:c>
      <x:c r="H143" s="7" t="n">
        <x:v>0</x:v>
      </x:c>
      <x:c r="I143" s="2" t="str">
        <x:f>IF(H143&lt;3,H143&amp;"명","3명 이상")</x:f>
        <x:v>0명</x:v>
      </x:c>
      <x:c r="J143" s="2" t="str">
        <x:v>비흡연</x:v>
      </x:c>
      <x:c r="K143" s="2" t="str">
        <x:v>없음</x:v>
      </x:c>
      <x:c r="L143" s="2" t="str">
        <x:v>암</x:v>
      </x:c>
      <x:c r="M143" s="2" t="str">
        <x:v>수호천사 암/건강보험</x:v>
      </x:c>
      <x:c r="N143" s="2" t="str">
        <x:f>VLOOKUP(M143,'분류기준'!$A$5:$B$8,2,FALSE)</x:f>
        <x:v>암/건강보험</x:v>
      </x:c>
      <x:c r="O143" s="2" t="str">
        <x:v>표적항암약물허가치료 특약</x:v>
      </x:c>
      <x:c r="P143" s="2" t="str">
        <x:f>IF(O143="선택 안함","선택 안함",IF(O143="특약 없음","특약 없음","가입"))</x:f>
        <x:v>가입</x:v>
      </x:c>
      <x:c r="Q143" s="2" t="str">
        <x:f>IF(P143="가입","가입","미가입")</x:f>
        <x:v>가입</x:v>
      </x:c>
    </x:row>
    <x:row r="144" ht="23" customHeight="1">
      <x:c r="A144" s="2" t="str">
        <x:v>C0915</x:v>
      </x:c>
      <x:c r="B144" s="7" t="n">
        <x:v>25</x:v>
      </x:c>
      <x:c r="C144" s="2" t="str">
        <x:f>INT(B144/10)*10&amp;"대"</x:f>
        <x:v>20대</x:v>
      </x:c>
      <x:c r="D144" s="2" t="str">
        <x:v>남성</x:v>
      </x:c>
      <x:c r="E144" s="7" t="n">
        <x:v>3000</x:v>
      </x:c>
      <x:c r="F144" s="7" t="n">
        <x:v>3</x:v>
      </x:c>
      <x:c r="G144" s="2" t="str">
        <x:v>기혼</x:v>
      </x:c>
      <x:c r="H144" s="7" t="n">
        <x:v>0</x:v>
      </x:c>
      <x:c r="I144" s="2" t="str">
        <x:f>IF(H144&lt;3,H144&amp;"명","3명 이상")</x:f>
        <x:v>0명</x:v>
      </x:c>
      <x:c r="J144" s="2" t="str">
        <x:v>비흡연</x:v>
      </x:c>
      <x:c r="K144" s="2" t="str">
        <x:v>없음</x:v>
      </x:c>
      <x:c r="L144" s="2" t="str">
        <x:v>암</x:v>
      </x:c>
      <x:c r="M144" s="2" t="str">
        <x:v>수호천사 암/건강보험</x:v>
      </x:c>
      <x:c r="N144" s="2" t="str">
        <x:f>VLOOKUP(M144,'분류기준'!$A$5:$B$8,2,FALSE)</x:f>
        <x:v>암/건강보험</x:v>
      </x:c>
      <x:c r="O144" s="2" t="str">
        <x:v>선택 안함</x:v>
      </x:c>
      <x:c r="P144" s="2" t="str">
        <x:f>IF(O144="선택 안함","선택 안함",IF(O144="특약 없음","특약 없음","가입"))</x:f>
        <x:v>선택 안함</x:v>
      </x:c>
      <x:c r="Q144" s="2" t="str">
        <x:f>IF(P144="가입","가입","미가입")</x:f>
        <x:v>미가입</x:v>
      </x:c>
    </x:row>
    <x:row r="145" ht="23" customHeight="1">
      <x:c r="A145" s="2" t="str">
        <x:v>C0930</x:v>
      </x:c>
      <x:c r="B145" s="7" t="n">
        <x:v>25</x:v>
      </x:c>
      <x:c r="C145" s="2" t="str">
        <x:f>INT(B145/10)*10&amp;"대"</x:f>
        <x:v>20대</x:v>
      </x:c>
      <x:c r="D145" s="2" t="str">
        <x:v>남성</x:v>
      </x:c>
      <x:c r="E145" s="7" t="n">
        <x:v>3000</x:v>
      </x:c>
      <x:c r="F145" s="7" t="n">
        <x:v>1</x:v>
      </x:c>
      <x:c r="G145" s="2" t="str">
        <x:v>기혼</x:v>
      </x:c>
      <x:c r="H145" s="7" t="n">
        <x:v>0</x:v>
      </x:c>
      <x:c r="I145" s="2" t="str">
        <x:f>IF(H145&lt;3,H145&amp;"명","3명 이상")</x:f>
        <x:v>0명</x:v>
      </x:c>
      <x:c r="J145" s="2" t="str">
        <x:v>비흡연</x:v>
      </x:c>
      <x:c r="K145" s="2" t="str">
        <x:v>없음</x:v>
      </x:c>
      <x:c r="L145" s="2" t="str">
        <x:v>심혈관</x:v>
      </x:c>
      <x:c r="M145" s="2" t="str">
        <x:v>수호천사 암/건강보험</x:v>
      </x:c>
      <x:c r="N145" s="2" t="str">
        <x:f>VLOOKUP(M145,'분류기준'!$A$5:$B$8,2,FALSE)</x:f>
        <x:v>암/건강보험</x:v>
      </x:c>
      <x:c r="O145" s="2" t="str">
        <x:v>수술비 보장 특약</x:v>
      </x:c>
      <x:c r="P145" s="2" t="str">
        <x:f>IF(O145="선택 안함","선택 안함",IF(O145="특약 없음","특약 없음","가입"))</x:f>
        <x:v>가입</x:v>
      </x:c>
      <x:c r="Q145" s="2" t="str">
        <x:f>IF(P145="가입","가입","미가입")</x:f>
        <x:v>가입</x:v>
      </x:c>
    </x:row>
    <x:row r="146" ht="23" customHeight="1">
      <x:c r="A146" s="2" t="str">
        <x:v>C0937</x:v>
      </x:c>
      <x:c r="B146" s="7" t="n">
        <x:v>25</x:v>
      </x:c>
      <x:c r="C146" s="2" t="str">
        <x:f>INT(B146/10)*10&amp;"대"</x:f>
        <x:v>20대</x:v>
      </x:c>
      <x:c r="D146" s="2" t="str">
        <x:v>여성</x:v>
      </x:c>
      <x:c r="E146" s="7" t="n">
        <x:v>7500</x:v>
      </x:c>
      <x:c r="F146" s="7" t="n">
        <x:v>1</x:v>
      </x:c>
      <x:c r="G146" s="2" t="str">
        <x:v>미혼</x:v>
      </x:c>
      <x:c r="H146" s="7" t="n">
        <x:v>0</x:v>
      </x:c>
      <x:c r="I146" s="2" t="str">
        <x:f>IF(H146&lt;3,H146&amp;"명","3명 이상")</x:f>
        <x:v>0명</x:v>
      </x:c>
      <x:c r="J146" s="2" t="str">
        <x:v>비흡연</x:v>
      </x:c>
      <x:c r="K146" s="2" t="str">
        <x:v>없음</x:v>
      </x:c>
      <x:c r="L146" s="2" t="str">
        <x:v>없음</x:v>
      </x:c>
      <x:c r="M146" s="2" t="str">
        <x:v>수호천사 행복 연금보험</x:v>
      </x:c>
      <x:c r="N146" s="2" t="str">
        <x:f>VLOOKUP(M146,'분류기준'!$A$5:$B$8,2,FALSE)</x:f>
        <x:v>연금보험</x:v>
      </x:c>
      <x:c r="O146" s="2" t="str">
        <x:v>특약 없음</x:v>
      </x:c>
      <x:c r="P146" s="2" t="str">
        <x:f>IF(O146="선택 안함","선택 안함",IF(O146="특약 없음","특약 없음","가입"))</x:f>
        <x:v>특약 없음</x:v>
      </x:c>
      <x:c r="Q146" s="2" t="str">
        <x:f>IF(P146="가입","가입","미가입")</x:f>
        <x:v>미가입</x:v>
      </x:c>
    </x:row>
    <x:row r="147" ht="23" customHeight="1">
      <x:c r="A147" s="2" t="str">
        <x:v>C0948</x:v>
      </x:c>
      <x:c r="B147" s="7" t="n">
        <x:v>25</x:v>
      </x:c>
      <x:c r="C147" s="2" t="str">
        <x:f>INT(B147/10)*10&amp;"대"</x:f>
        <x:v>20대</x:v>
      </x:c>
      <x:c r="D147" s="2" t="str">
        <x:v>여성</x:v>
      </x:c>
      <x:c r="E147" s="7" t="n">
        <x:v>3000</x:v>
      </x:c>
      <x:c r="F147" s="7" t="n">
        <x:v>1</x:v>
      </x:c>
      <x:c r="G147" s="2" t="str">
        <x:v>미혼</x:v>
      </x:c>
      <x:c r="H147" s="7" t="n">
        <x:v>0</x:v>
      </x:c>
      <x:c r="I147" s="2" t="str">
        <x:f>IF(H147&lt;3,H147&amp;"명","3명 이상")</x:f>
        <x:v>0명</x:v>
      </x:c>
      <x:c r="J147" s="2" t="str">
        <x:v>비흡연</x:v>
      </x:c>
      <x:c r="K147" s="2" t="str">
        <x:v>없음</x:v>
      </x:c>
      <x:c r="L147" s="2" t="str">
        <x:v>없음</x:v>
      </x:c>
      <x:c r="M147" s="2" t="str">
        <x:v>수호천사 암/건강보험</x:v>
      </x:c>
      <x:c r="N147" s="2" t="str">
        <x:f>VLOOKUP(M147,'분류기준'!$A$5:$B$8,2,FALSE)</x:f>
        <x:v>암/건강보험</x:v>
      </x:c>
      <x:c r="O147" s="2" t="str">
        <x:v>수술비 보장 특약</x:v>
      </x:c>
      <x:c r="P147" s="2" t="str">
        <x:f>IF(O147="선택 안함","선택 안함",IF(O147="특약 없음","특약 없음","가입"))</x:f>
        <x:v>가입</x:v>
      </x:c>
      <x:c r="Q147" s="2" t="str">
        <x:f>IF(P147="가입","가입","미가입")</x:f>
        <x:v>가입</x:v>
      </x:c>
    </x:row>
    <x:row r="148" ht="23" customHeight="1">
      <x:c r="A148" s="2" t="str">
        <x:v>C0967</x:v>
      </x:c>
      <x:c r="B148" s="7" t="n">
        <x:v>25</x:v>
      </x:c>
      <x:c r="C148" s="2" t="str">
        <x:f>INT(B148/10)*10&amp;"대"</x:f>
        <x:v>20대</x:v>
      </x:c>
      <x:c r="D148" s="2" t="str">
        <x:v>여성</x:v>
      </x:c>
      <x:c r="E148" s="7" t="n">
        <x:v>4000</x:v>
      </x:c>
      <x:c r="F148" s="7" t="n">
        <x:v>2</x:v>
      </x:c>
      <x:c r="G148" s="2" t="str">
        <x:v>미혼</x:v>
      </x:c>
      <x:c r="H148" s="7" t="n">
        <x:v>0</x:v>
      </x:c>
      <x:c r="I148" s="2" t="str">
        <x:f>IF(H148&lt;3,H148&amp;"명","3명 이상")</x:f>
        <x:v>0명</x:v>
      </x:c>
      <x:c r="J148" s="2" t="str">
        <x:v>비흡연</x:v>
      </x:c>
      <x:c r="K148" s="2" t="str">
        <x:v>없음</x:v>
      </x:c>
      <x:c r="L148" s="2" t="str">
        <x:v>없음</x:v>
      </x:c>
      <x:c r="M148" s="2" t="str">
        <x:v>수호천사 암/건강보험</x:v>
      </x:c>
      <x:c r="N148" s="2" t="str">
        <x:f>VLOOKUP(M148,'분류기준'!$A$5:$B$8,2,FALSE)</x:f>
        <x:v>암/건강보험</x:v>
      </x:c>
      <x:c r="O148" s="2" t="str">
        <x:v>선택 안함</x:v>
      </x:c>
      <x:c r="P148" s="2" t="str">
        <x:f>IF(O148="선택 안함","선택 안함",IF(O148="특약 없음","특약 없음","가입"))</x:f>
        <x:v>선택 안함</x:v>
      </x:c>
      <x:c r="Q148" s="2" t="str">
        <x:f>IF(P148="가입","가입","미가입")</x:f>
        <x:v>미가입</x:v>
      </x:c>
    </x:row>
    <x:row r="149" ht="23" customHeight="1">
      <x:c r="A149" s="2" t="str">
        <x:v>C0038</x:v>
      </x:c>
      <x:c r="B149" s="7" t="n">
        <x:v>26</x:v>
      </x:c>
      <x:c r="C149" s="2" t="str">
        <x:f>INT(B149/10)*10&amp;"대"</x:f>
        <x:v>20대</x:v>
      </x:c>
      <x:c r="D149" s="2" t="str">
        <x:v>여성</x:v>
      </x:c>
      <x:c r="E149" s="7" t="n">
        <x:v>5000</x:v>
      </x:c>
      <x:c r="F149" s="7" t="n">
        <x:v>3</x:v>
      </x:c>
      <x:c r="G149" s="2" t="str">
        <x:v>미혼</x:v>
      </x:c>
      <x:c r="H149" s="7" t="n">
        <x:v>0</x:v>
      </x:c>
      <x:c r="I149" s="2" t="str">
        <x:f>IF(H149&lt;3,H149&amp;"명","3명 이상")</x:f>
        <x:v>0명</x:v>
      </x:c>
      <x:c r="J149" s="2" t="str">
        <x:v>흡연</x:v>
      </x:c>
      <x:c r="K149" s="2" t="str">
        <x:v>없음</x:v>
      </x:c>
      <x:c r="L149" s="2" t="str">
        <x:v>없음</x:v>
      </x:c>
      <x:c r="M149" s="2" t="str">
        <x:v>수호천사 행복 연금보험</x:v>
      </x:c>
      <x:c r="N149" s="2" t="str">
        <x:f>VLOOKUP(M149,'분류기준'!$A$5:$B$8,2,FALSE)</x:f>
        <x:v>연금보험</x:v>
      </x:c>
      <x:c r="O149" s="2" t="str">
        <x:v>특약 없음</x:v>
      </x:c>
      <x:c r="P149" s="2" t="str">
        <x:f>IF(O149="선택 안함","선택 안함",IF(O149="특약 없음","특약 없음","가입"))</x:f>
        <x:v>특약 없음</x:v>
      </x:c>
      <x:c r="Q149" s="2" t="str">
        <x:f>IF(P149="가입","가입","미가입")</x:f>
        <x:v>미가입</x:v>
      </x:c>
    </x:row>
    <x:row r="150" ht="23" customHeight="1">
      <x:c r="A150" s="2" t="str">
        <x:v>C0051</x:v>
      </x:c>
      <x:c r="B150" s="7" t="n">
        <x:v>26</x:v>
      </x:c>
      <x:c r="C150" s="2" t="str">
        <x:f>INT(B150/10)*10&amp;"대"</x:f>
        <x:v>20대</x:v>
      </x:c>
      <x:c r="D150" s="2" t="str">
        <x:v>여성</x:v>
      </x:c>
      <x:c r="E150" s="7" t="n">
        <x:v>3000</x:v>
      </x:c>
      <x:c r="F150" s="7" t="n">
        <x:v>1</x:v>
      </x:c>
      <x:c r="G150" s="2" t="str">
        <x:v>미혼</x:v>
      </x:c>
      <x:c r="H150" s="7" t="n">
        <x:v>0</x:v>
      </x:c>
      <x:c r="I150" s="2" t="str">
        <x:f>IF(H150&lt;3,H150&amp;"명","3명 이상")</x:f>
        <x:v>0명</x:v>
      </x:c>
      <x:c r="J150" s="2" t="str">
        <x:v>비흡연</x:v>
      </x:c>
      <x:c r="K150" s="2" t="str">
        <x:v>없음</x:v>
      </x:c>
      <x:c r="L150" s="2" t="str">
        <x:v>없음</x:v>
      </x:c>
      <x:c r="M150" s="2" t="str">
        <x:v>수호천사 우리가족 종신보험</x:v>
      </x:c>
      <x:c r="N150" s="2" t="str">
        <x:f>VLOOKUP(M150,'분류기준'!$A$5:$B$8,2,FALSE)</x:f>
        <x:v>종신보험</x:v>
      </x:c>
      <x:c r="O150" s="2" t="str">
        <x:v>가족 수입 보장 특약</x:v>
      </x:c>
      <x:c r="P150" s="2" t="str">
        <x:f>IF(O150="선택 안함","선택 안함",IF(O150="특약 없음","특약 없음","가입"))</x:f>
        <x:v>가입</x:v>
      </x:c>
      <x:c r="Q150" s="2" t="str">
        <x:f>IF(P150="가입","가입","미가입")</x:f>
        <x:v>가입</x:v>
      </x:c>
    </x:row>
    <x:row r="151" ht="23" customHeight="1">
      <x:c r="A151" s="2" t="str">
        <x:v>C0092</x:v>
      </x:c>
      <x:c r="B151" s="7" t="n">
        <x:v>26</x:v>
      </x:c>
      <x:c r="C151" s="2" t="str">
        <x:f>INT(B151/10)*10&amp;"대"</x:f>
        <x:v>20대</x:v>
      </x:c>
      <x:c r="D151" s="2" t="str">
        <x:v>남성</x:v>
      </x:c>
      <x:c r="E151" s="7" t="n">
        <x:v>5000</x:v>
      </x:c>
      <x:c r="F151" s="7" t="n">
        <x:v>2</x:v>
      </x:c>
      <x:c r="G151" s="2" t="str">
        <x:v>기혼</x:v>
      </x:c>
      <x:c r="H151" s="7" t="n">
        <x:v>0</x:v>
      </x:c>
      <x:c r="I151" s="2" t="str">
        <x:f>IF(H151&lt;3,H151&amp;"명","3명 이상")</x:f>
        <x:v>0명</x:v>
      </x:c>
      <x:c r="J151" s="2" t="str">
        <x:v>흡연</x:v>
      </x:c>
      <x:c r="K151" s="2" t="str">
        <x:v>없음</x:v>
      </x:c>
      <x:c r="L151" s="2" t="str">
        <x:v>없음</x:v>
      </x:c>
      <x:c r="M151" s="2" t="str">
        <x:v>수호천사 암/건강보험</x:v>
      </x:c>
      <x:c r="N151" s="2" t="str">
        <x:f>VLOOKUP(M151,'분류기준'!$A$5:$B$8,2,FALSE)</x:f>
        <x:v>암/건강보험</x:v>
      </x:c>
      <x:c r="O151" s="2" t="str">
        <x:v>수술비 보장 특약</x:v>
      </x:c>
      <x:c r="P151" s="2" t="str">
        <x:f>IF(O151="선택 안함","선택 안함",IF(O151="특약 없음","특약 없음","가입"))</x:f>
        <x:v>가입</x:v>
      </x:c>
      <x:c r="Q151" s="2" t="str">
        <x:f>IF(P151="가입","가입","미가입")</x:f>
        <x:v>가입</x:v>
      </x:c>
    </x:row>
    <x:row r="152" ht="23" customHeight="1">
      <x:c r="A152" s="2" t="str">
        <x:v>C0110</x:v>
      </x:c>
      <x:c r="B152" s="7" t="n">
        <x:v>26</x:v>
      </x:c>
      <x:c r="C152" s="2" t="str">
        <x:f>INT(B152/10)*10&amp;"대"</x:f>
        <x:v>20대</x:v>
      </x:c>
      <x:c r="D152" s="2" t="str">
        <x:v>남성</x:v>
      </x:c>
      <x:c r="E152" s="7" t="n">
        <x:v>9000</x:v>
      </x:c>
      <x:c r="F152" s="7" t="n">
        <x:v>3</x:v>
      </x:c>
      <x:c r="G152" s="2" t="str">
        <x:v>미혼</x:v>
      </x:c>
      <x:c r="H152" s="7" t="n">
        <x:v>0</x:v>
      </x:c>
      <x:c r="I152" s="2" t="str">
        <x:f>IF(H152&lt;3,H152&amp;"명","3명 이상")</x:f>
        <x:v>0명</x:v>
      </x:c>
      <x:c r="J152" s="2" t="str">
        <x:v>비흡연</x:v>
      </x:c>
      <x:c r="K152" s="2" t="str">
        <x:v>없음</x:v>
      </x:c>
      <x:c r="L152" s="2" t="str">
        <x:v>심혈관</x:v>
      </x:c>
      <x:c r="M152" s="2" t="str">
        <x:v>수호천사 암/건강보험</x:v>
      </x:c>
      <x:c r="N152" s="2" t="str">
        <x:f>VLOOKUP(M152,'분류기준'!$A$5:$B$8,2,FALSE)</x:f>
        <x:v>암/건강보험</x:v>
      </x:c>
      <x:c r="O152" s="2" t="str">
        <x:v>수술비 보장 특약</x:v>
      </x:c>
      <x:c r="P152" s="2" t="str">
        <x:f>IF(O152="선택 안함","선택 안함",IF(O152="특약 없음","특약 없음","가입"))</x:f>
        <x:v>가입</x:v>
      </x:c>
      <x:c r="Q152" s="2" t="str">
        <x:f>IF(P152="가입","가입","미가입")</x:f>
        <x:v>가입</x:v>
      </x:c>
    </x:row>
    <x:row r="153" ht="23" customHeight="1">
      <x:c r="A153" s="2" t="str">
        <x:v>C0157</x:v>
      </x:c>
      <x:c r="B153" s="7" t="n">
        <x:v>26</x:v>
      </x:c>
      <x:c r="C153" s="2" t="str">
        <x:f>INT(B153/10)*10&amp;"대"</x:f>
        <x:v>20대</x:v>
      </x:c>
      <x:c r="D153" s="2" t="str">
        <x:v>남성</x:v>
      </x:c>
      <x:c r="E153" s="7" t="n">
        <x:v>3000</x:v>
      </x:c>
      <x:c r="F153" s="7" t="n">
        <x:v>1</x:v>
      </x:c>
      <x:c r="G153" s="2" t="str">
        <x:v>미혼</x:v>
      </x:c>
      <x:c r="H153" s="7" t="n">
        <x:v>0</x:v>
      </x:c>
      <x:c r="I153" s="2" t="str">
        <x:f>IF(H153&lt;3,H153&amp;"명","3명 이상")</x:f>
        <x:v>0명</x:v>
      </x:c>
      <x:c r="J153" s="2" t="str">
        <x:v>비흡연</x:v>
      </x:c>
      <x:c r="K153" s="2" t="str">
        <x:v>없음</x:v>
      </x:c>
      <x:c r="L153" s="2" t="str">
        <x:v>없음</x:v>
      </x:c>
      <x:c r="M153" s="2" t="str">
        <x:v>수호천사 우리가족 종신보험</x:v>
      </x:c>
      <x:c r="N153" s="2" t="str">
        <x:f>VLOOKUP(M153,'분류기준'!$A$5:$B$8,2,FALSE)</x:f>
        <x:v>종신보험</x:v>
      </x:c>
      <x:c r="O153" s="2" t="str">
        <x:v>가족 수입 보장 특약</x:v>
      </x:c>
      <x:c r="P153" s="2" t="str">
        <x:f>IF(O153="선택 안함","선택 안함",IF(O153="특약 없음","특약 없음","가입"))</x:f>
        <x:v>가입</x:v>
      </x:c>
      <x:c r="Q153" s="2" t="str">
        <x:f>IF(P153="가입","가입","미가입")</x:f>
        <x:v>가입</x:v>
      </x:c>
    </x:row>
    <x:row r="154" ht="23" customHeight="1">
      <x:c r="A154" s="2" t="str">
        <x:v>C0241</x:v>
      </x:c>
      <x:c r="B154" s="7" t="n">
        <x:v>26</x:v>
      </x:c>
      <x:c r="C154" s="2" t="str">
        <x:f>INT(B154/10)*10&amp;"대"</x:f>
        <x:v>20대</x:v>
      </x:c>
      <x:c r="D154" s="2" t="str">
        <x:v>여성</x:v>
      </x:c>
      <x:c r="E154" s="7" t="n">
        <x:v>6000</x:v>
      </x:c>
      <x:c r="F154" s="7" t="n">
        <x:v>1</x:v>
      </x:c>
      <x:c r="G154" s="2" t="str">
        <x:v>미혼</x:v>
      </x:c>
      <x:c r="H154" s="7" t="n">
        <x:v>0</x:v>
      </x:c>
      <x:c r="I154" s="2" t="str">
        <x:f>IF(H154&lt;3,H154&amp;"명","3명 이상")</x:f>
        <x:v>0명</x:v>
      </x:c>
      <x:c r="J154" s="2" t="str">
        <x:v>비흡연</x:v>
      </x:c>
      <x:c r="K154" s="2" t="str">
        <x:v>없음</x:v>
      </x:c>
      <x:c r="L154" s="2" t="str">
        <x:v>없음</x:v>
      </x:c>
      <x:c r="M154" s="2" t="str">
        <x:v>수호천사 우리가족 종신보험</x:v>
      </x:c>
      <x:c r="N154" s="2" t="str">
        <x:f>VLOOKUP(M154,'분류기준'!$A$5:$B$8,2,FALSE)</x:f>
        <x:v>종신보험</x:v>
      </x:c>
      <x:c r="O154" s="2" t="str">
        <x:v>선택 안함</x:v>
      </x:c>
      <x:c r="P154" s="2" t="str">
        <x:f>IF(O154="선택 안함","선택 안함",IF(O154="특약 없음","특약 없음","가입"))</x:f>
        <x:v>선택 안함</x:v>
      </x:c>
      <x:c r="Q154" s="2" t="str">
        <x:f>IF(P154="가입","가입","미가입")</x:f>
        <x:v>미가입</x:v>
      </x:c>
    </x:row>
    <x:row r="155" ht="23" customHeight="1">
      <x:c r="A155" s="2" t="str">
        <x:v>C0257</x:v>
      </x:c>
      <x:c r="B155" s="7" t="n">
        <x:v>26</x:v>
      </x:c>
      <x:c r="C155" s="2" t="str">
        <x:f>INT(B155/10)*10&amp;"대"</x:f>
        <x:v>20대</x:v>
      </x:c>
      <x:c r="D155" s="2" t="str">
        <x:v>남성</x:v>
      </x:c>
      <x:c r="E155" s="7" t="n">
        <x:v>5000</x:v>
      </x:c>
      <x:c r="F155" s="7" t="n">
        <x:v>2</x:v>
      </x:c>
      <x:c r="G155" s="2" t="str">
        <x:v>미혼</x:v>
      </x:c>
      <x:c r="H155" s="7" t="n">
        <x:v>0</x:v>
      </x:c>
      <x:c r="I155" s="2" t="str">
        <x:f>IF(H155&lt;3,H155&amp;"명","3명 이상")</x:f>
        <x:v>0명</x:v>
      </x:c>
      <x:c r="J155" s="2" t="str">
        <x:v>비흡연</x:v>
      </x:c>
      <x:c r="K155" s="2" t="str">
        <x:v>없음</x:v>
      </x:c>
      <x:c r="L155" s="2" t="str">
        <x:v>암</x:v>
      </x:c>
      <x:c r="M155" s="2" t="str">
        <x:v>수호천사 간편심사(유병자)보험</x:v>
      </x:c>
      <x:c r="N155" s="2" t="str">
        <x:f>VLOOKUP(M155,'분류기준'!$A$5:$B$8,2,FALSE)</x:f>
        <x:v>간편심사보험</x:v>
      </x:c>
      <x:c r="O155" s="2" t="str">
        <x:v>중증질환 산정특례 보장 특약</x:v>
      </x:c>
      <x:c r="P155" s="2" t="str">
        <x:f>IF(O155="선택 안함","선택 안함",IF(O155="특약 없음","특약 없음","가입"))</x:f>
        <x:v>가입</x:v>
      </x:c>
      <x:c r="Q155" s="2" t="str">
        <x:f>IF(P155="가입","가입","미가입")</x:f>
        <x:v>가입</x:v>
      </x:c>
    </x:row>
    <x:row r="156" ht="23" customHeight="1">
      <x:c r="A156" s="2" t="str">
        <x:v>C0302</x:v>
      </x:c>
      <x:c r="B156" s="7" t="n">
        <x:v>26</x:v>
      </x:c>
      <x:c r="C156" s="2" t="str">
        <x:f>INT(B156/10)*10&amp;"대"</x:f>
        <x:v>20대</x:v>
      </x:c>
      <x:c r="D156" s="2" t="str">
        <x:v>여성</x:v>
      </x:c>
      <x:c r="E156" s="7" t="n">
        <x:v>6000</x:v>
      </x:c>
      <x:c r="F156" s="7" t="n">
        <x:v>1</x:v>
      </x:c>
      <x:c r="G156" s="2" t="str">
        <x:v>미혼</x:v>
      </x:c>
      <x:c r="H156" s="7" t="n">
        <x:v>0</x:v>
      </x:c>
      <x:c r="I156" s="2" t="str">
        <x:f>IF(H156&lt;3,H156&amp;"명","3명 이상")</x:f>
        <x:v>0명</x:v>
      </x:c>
      <x:c r="J156" s="2" t="str">
        <x:v>비흡연</x:v>
      </x:c>
      <x:c r="K156" s="2" t="str">
        <x:v>없음</x:v>
      </x:c>
      <x:c r="L156" s="2" t="str">
        <x:v>암</x:v>
      </x:c>
      <x:c r="M156" s="2" t="str">
        <x:v>수호천사 행복 연금보험</x:v>
      </x:c>
      <x:c r="N156" s="2" t="str">
        <x:f>VLOOKUP(M156,'분류기준'!$A$5:$B$8,2,FALSE)</x:f>
        <x:v>연금보험</x:v>
      </x:c>
      <x:c r="O156" s="2" t="str">
        <x:v>특약 없음</x:v>
      </x:c>
      <x:c r="P156" s="2" t="str">
        <x:f>IF(O156="선택 안함","선택 안함",IF(O156="특약 없음","특약 없음","가입"))</x:f>
        <x:v>특약 없음</x:v>
      </x:c>
      <x:c r="Q156" s="2" t="str">
        <x:f>IF(P156="가입","가입","미가입")</x:f>
        <x:v>미가입</x:v>
      </x:c>
    </x:row>
    <x:row r="157" ht="23" customHeight="1">
      <x:c r="A157" s="2" t="str">
        <x:v>C0377</x:v>
      </x:c>
      <x:c r="B157" s="7" t="n">
        <x:v>26</x:v>
      </x:c>
      <x:c r="C157" s="2" t="str">
        <x:f>INT(B157/10)*10&amp;"대"</x:f>
        <x:v>20대</x:v>
      </x:c>
      <x:c r="D157" s="2" t="str">
        <x:v>여성</x:v>
      </x:c>
      <x:c r="E157" s="7" t="n">
        <x:v>3000</x:v>
      </x:c>
      <x:c r="F157" s="7" t="n">
        <x:v>1</x:v>
      </x:c>
      <x:c r="G157" s="2" t="str">
        <x:v>기혼</x:v>
      </x:c>
      <x:c r="H157" s="7" t="n">
        <x:v>0</x:v>
      </x:c>
      <x:c r="I157" s="2" t="str">
        <x:f>IF(H157&lt;3,H157&amp;"명","3명 이상")</x:f>
        <x:v>0명</x:v>
      </x:c>
      <x:c r="J157" s="2" t="str">
        <x:v>흡연</x:v>
      </x:c>
      <x:c r="K157" s="2" t="str">
        <x:v>고혈압</x:v>
      </x:c>
      <x:c r="L157" s="2" t="str">
        <x:v>없음</x:v>
      </x:c>
      <x:c r="M157" s="2" t="str">
        <x:v>수호천사 간편심사(유병자)보험</x:v>
      </x:c>
      <x:c r="N157" s="2" t="str">
        <x:f>VLOOKUP(M157,'분류기준'!$A$5:$B$8,2,FALSE)</x:f>
        <x:v>간편심사보험</x:v>
      </x:c>
      <x:c r="O157" s="2" t="str">
        <x:v>중증질환 산정특례 보장 특약</x:v>
      </x:c>
      <x:c r="P157" s="2" t="str">
        <x:f>IF(O157="선택 안함","선택 안함",IF(O157="특약 없음","특약 없음","가입"))</x:f>
        <x:v>가입</x:v>
      </x:c>
      <x:c r="Q157" s="2" t="str">
        <x:f>IF(P157="가입","가입","미가입")</x:f>
        <x:v>가입</x:v>
      </x:c>
    </x:row>
    <x:row r="158" ht="23" customHeight="1">
      <x:c r="A158" s="2" t="str">
        <x:v>C0519</x:v>
      </x:c>
      <x:c r="B158" s="7" t="n">
        <x:v>26</x:v>
      </x:c>
      <x:c r="C158" s="2" t="str">
        <x:f>INT(B158/10)*10&amp;"대"</x:f>
        <x:v>20대</x:v>
      </x:c>
      <x:c r="D158" s="2" t="str">
        <x:v>남성</x:v>
      </x:c>
      <x:c r="E158" s="7" t="n">
        <x:v>4000</x:v>
      </x:c>
      <x:c r="F158" s="7" t="n">
        <x:v>2</x:v>
      </x:c>
      <x:c r="G158" s="2" t="str">
        <x:v>미혼</x:v>
      </x:c>
      <x:c r="H158" s="7" t="n">
        <x:v>0</x:v>
      </x:c>
      <x:c r="I158" s="2" t="str">
        <x:f>IF(H158&lt;3,H158&amp;"명","3명 이상")</x:f>
        <x:v>0명</x:v>
      </x:c>
      <x:c r="J158" s="2" t="str">
        <x:v>흡연</x:v>
      </x:c>
      <x:c r="K158" s="2" t="str">
        <x:v>없음</x:v>
      </x:c>
      <x:c r="L158" s="2" t="str">
        <x:v>암</x:v>
      </x:c>
      <x:c r="M158" s="2" t="str">
        <x:v>수호천사 암/건강보험</x:v>
      </x:c>
      <x:c r="N158" s="2" t="str">
        <x:f>VLOOKUP(M158,'분류기준'!$A$5:$B$8,2,FALSE)</x:f>
        <x:v>암/건강보험</x:v>
      </x:c>
      <x:c r="O158" s="2" t="str">
        <x:v>수술비 보장 특약</x:v>
      </x:c>
      <x:c r="P158" s="2" t="str">
        <x:f>IF(O158="선택 안함","선택 안함",IF(O158="특약 없음","특약 없음","가입"))</x:f>
        <x:v>가입</x:v>
      </x:c>
      <x:c r="Q158" s="2" t="str">
        <x:f>IF(P158="가입","가입","미가입")</x:f>
        <x:v>가입</x:v>
      </x:c>
    </x:row>
    <x:row r="159" ht="23" customHeight="1">
      <x:c r="A159" s="2" t="str">
        <x:v>C0561</x:v>
      </x:c>
      <x:c r="B159" s="7" t="n">
        <x:v>26</x:v>
      </x:c>
      <x:c r="C159" s="2" t="str">
        <x:f>INT(B159/10)*10&amp;"대"</x:f>
        <x:v>20대</x:v>
      </x:c>
      <x:c r="D159" s="2" t="str">
        <x:v>여성</x:v>
      </x:c>
      <x:c r="E159" s="7" t="n">
        <x:v>9000</x:v>
      </x:c>
      <x:c r="F159" s="7" t="n">
        <x:v>1</x:v>
      </x:c>
      <x:c r="G159" s="2" t="str">
        <x:v>미혼</x:v>
      </x:c>
      <x:c r="H159" s="7" t="n">
        <x:v>0</x:v>
      </x:c>
      <x:c r="I159" s="2" t="str">
        <x:f>IF(H159&lt;3,H159&amp;"명","3명 이상")</x:f>
        <x:v>0명</x:v>
      </x:c>
      <x:c r="J159" s="2" t="str">
        <x:v>비흡연</x:v>
      </x:c>
      <x:c r="K159" s="2" t="str">
        <x:v>당뇨</x:v>
      </x:c>
      <x:c r="L159" s="2" t="str">
        <x:v>없음</x:v>
      </x:c>
      <x:c r="M159" s="2" t="str">
        <x:v>수호천사 우리가족 종신보험</x:v>
      </x:c>
      <x:c r="N159" s="2" t="str">
        <x:f>VLOOKUP(M159,'분류기준'!$A$5:$B$8,2,FALSE)</x:f>
        <x:v>종신보험</x:v>
      </x:c>
      <x:c r="O159" s="2" t="str">
        <x:v>가족 수입 보장 특약</x:v>
      </x:c>
      <x:c r="P159" s="2" t="str">
        <x:f>IF(O159="선택 안함","선택 안함",IF(O159="특약 없음","특약 없음","가입"))</x:f>
        <x:v>가입</x:v>
      </x:c>
      <x:c r="Q159" s="2" t="str">
        <x:f>IF(P159="가입","가입","미가입")</x:f>
        <x:v>가입</x:v>
      </x:c>
    </x:row>
    <x:row r="160" ht="23" customHeight="1">
      <x:c r="A160" s="2" t="str">
        <x:v>C0594</x:v>
      </x:c>
      <x:c r="B160" s="7" t="n">
        <x:v>26</x:v>
      </x:c>
      <x:c r="C160" s="2" t="str">
        <x:f>INT(B160/10)*10&amp;"대"</x:f>
        <x:v>20대</x:v>
      </x:c>
      <x:c r="D160" s="2" t="str">
        <x:v>남성</x:v>
      </x:c>
      <x:c r="E160" s="7" t="n">
        <x:v>3000</x:v>
      </x:c>
      <x:c r="F160" s="7" t="n">
        <x:v>1</x:v>
      </x:c>
      <x:c r="G160" s="2" t="str">
        <x:v>미혼</x:v>
      </x:c>
      <x:c r="H160" s="7" t="n">
        <x:v>0</x:v>
      </x:c>
      <x:c r="I160" s="2" t="str">
        <x:f>IF(H160&lt;3,H160&amp;"명","3명 이상")</x:f>
        <x:v>0명</x:v>
      </x:c>
      <x:c r="J160" s="2" t="str">
        <x:v>비흡연</x:v>
      </x:c>
      <x:c r="K160" s="2" t="str">
        <x:v>없음</x:v>
      </x:c>
      <x:c r="L160" s="2" t="str">
        <x:v>암</x:v>
      </x:c>
      <x:c r="M160" s="2" t="str">
        <x:v>수호천사 우리가족 종신보험</x:v>
      </x:c>
      <x:c r="N160" s="2" t="str">
        <x:f>VLOOKUP(M160,'분류기준'!$A$5:$B$8,2,FALSE)</x:f>
        <x:v>종신보험</x:v>
      </x:c>
      <x:c r="O160" s="2" t="str">
        <x:v>선택 안함</x:v>
      </x:c>
      <x:c r="P160" s="2" t="str">
        <x:f>IF(O160="선택 안함","선택 안함",IF(O160="특약 없음","특약 없음","가입"))</x:f>
        <x:v>선택 안함</x:v>
      </x:c>
      <x:c r="Q160" s="2" t="str">
        <x:f>IF(P160="가입","가입","미가입")</x:f>
        <x:v>미가입</x:v>
      </x:c>
    </x:row>
    <x:row r="161" ht="23" customHeight="1">
      <x:c r="A161" s="2" t="str">
        <x:v>C0612</x:v>
      </x:c>
      <x:c r="B161" s="7" t="n">
        <x:v>26</x:v>
      </x:c>
      <x:c r="C161" s="2" t="str">
        <x:f>INT(B161/10)*10&amp;"대"</x:f>
        <x:v>20대</x:v>
      </x:c>
      <x:c r="D161" s="2" t="str">
        <x:v>남성</x:v>
      </x:c>
      <x:c r="E161" s="7" t="n">
        <x:v>6000</x:v>
      </x:c>
      <x:c r="F161" s="7" t="n">
        <x:v>1</x:v>
      </x:c>
      <x:c r="G161" s="2" t="str">
        <x:v>미혼</x:v>
      </x:c>
      <x:c r="H161" s="7" t="n">
        <x:v>0</x:v>
      </x:c>
      <x:c r="I161" s="2" t="str">
        <x:f>IF(H161&lt;3,H161&amp;"명","3명 이상")</x:f>
        <x:v>0명</x:v>
      </x:c>
      <x:c r="J161" s="2" t="str">
        <x:v>비흡연</x:v>
      </x:c>
      <x:c r="K161" s="2" t="str">
        <x:v>없음</x:v>
      </x:c>
      <x:c r="L161" s="2" t="str">
        <x:v>암</x:v>
      </x:c>
      <x:c r="M161" s="2" t="str">
        <x:v>수호천사 행복 연금보험</x:v>
      </x:c>
      <x:c r="N161" s="2" t="str">
        <x:f>VLOOKUP(M161,'분류기준'!$A$5:$B$8,2,FALSE)</x:f>
        <x:v>연금보험</x:v>
      </x:c>
      <x:c r="O161" s="2" t="str">
        <x:v>특약 없음</x:v>
      </x:c>
      <x:c r="P161" s="2" t="str">
        <x:f>IF(O161="선택 안함","선택 안함",IF(O161="특약 없음","특약 없음","가입"))</x:f>
        <x:v>특약 없음</x:v>
      </x:c>
      <x:c r="Q161" s="2" t="str">
        <x:f>IF(P161="가입","가입","미가입")</x:f>
        <x:v>미가입</x:v>
      </x:c>
    </x:row>
    <x:row r="162" ht="23" customHeight="1">
      <x:c r="A162" s="2" t="str">
        <x:v>C0864</x:v>
      </x:c>
      <x:c r="B162" s="7" t="n">
        <x:v>26</x:v>
      </x:c>
      <x:c r="C162" s="2" t="str">
        <x:f>INT(B162/10)*10&amp;"대"</x:f>
        <x:v>20대</x:v>
      </x:c>
      <x:c r="D162" s="2" t="str">
        <x:v>여성</x:v>
      </x:c>
      <x:c r="E162" s="7" t="n">
        <x:v>5000</x:v>
      </x:c>
      <x:c r="F162" s="7" t="n">
        <x:v>1</x:v>
      </x:c>
      <x:c r="G162" s="2" t="str">
        <x:v>미혼</x:v>
      </x:c>
      <x:c r="H162" s="7" t="n">
        <x:v>0</x:v>
      </x:c>
      <x:c r="I162" s="2" t="str">
        <x:f>IF(H162&lt;3,H162&amp;"명","3명 이상")</x:f>
        <x:v>0명</x:v>
      </x:c>
      <x:c r="J162" s="2" t="str">
        <x:v>비흡연</x:v>
      </x:c>
      <x:c r="K162" s="2" t="str">
        <x:v>없음</x:v>
      </x:c>
      <x:c r="L162" s="2" t="str">
        <x:v>없음</x:v>
      </x:c>
      <x:c r="M162" s="2" t="str">
        <x:v>수호천사 행복 연금보험</x:v>
      </x:c>
      <x:c r="N162" s="2" t="str">
        <x:f>VLOOKUP(M162,'분류기준'!$A$5:$B$8,2,FALSE)</x:f>
        <x:v>연금보험</x:v>
      </x:c>
      <x:c r="O162" s="2" t="str">
        <x:v>특약 없음</x:v>
      </x:c>
      <x:c r="P162" s="2" t="str">
        <x:f>IF(O162="선택 안함","선택 안함",IF(O162="특약 없음","특약 없음","가입"))</x:f>
        <x:v>특약 없음</x:v>
      </x:c>
      <x:c r="Q162" s="2" t="str">
        <x:f>IF(P162="가입","가입","미가입")</x:f>
        <x:v>미가입</x:v>
      </x:c>
    </x:row>
    <x:row r="163" ht="23" customHeight="1">
      <x:c r="A163" s="2" t="str">
        <x:v>C0005</x:v>
      </x:c>
      <x:c r="B163" s="7" t="n">
        <x:v>27</x:v>
      </x:c>
      <x:c r="C163" s="2" t="str">
        <x:f>INT(B163/10)*10&amp;"대"</x:f>
        <x:v>20대</x:v>
      </x:c>
      <x:c r="D163" s="2" t="str">
        <x:v>여성</x:v>
      </x:c>
      <x:c r="E163" s="7" t="n">
        <x:v>4000</x:v>
      </x:c>
      <x:c r="F163" s="7" t="n">
        <x:v>3</x:v>
      </x:c>
      <x:c r="G163" s="2" t="str">
        <x:v>미혼</x:v>
      </x:c>
      <x:c r="H163" s="7" t="n">
        <x:v>0</x:v>
      </x:c>
      <x:c r="I163" s="2" t="str">
        <x:f>IF(H163&lt;3,H163&amp;"명","3명 이상")</x:f>
        <x:v>0명</x:v>
      </x:c>
      <x:c r="J163" s="2" t="str">
        <x:v>흡연</x:v>
      </x:c>
      <x:c r="K163" s="2" t="str">
        <x:v>없음</x:v>
      </x:c>
      <x:c r="L163" s="2" t="str">
        <x:v>암</x:v>
      </x:c>
      <x:c r="M163" s="2" t="str">
        <x:v>수호천사 암/건강보험</x:v>
      </x:c>
      <x:c r="N163" s="2" t="str">
        <x:f>VLOOKUP(M163,'분류기준'!$A$5:$B$8,2,FALSE)</x:f>
        <x:v>암/건강보험</x:v>
      </x:c>
      <x:c r="O163" s="2" t="str">
        <x:v>표적항암약물허가치료 특약</x:v>
      </x:c>
      <x:c r="P163" s="2" t="str">
        <x:f>IF(O163="선택 안함","선택 안함",IF(O163="특약 없음","특약 없음","가입"))</x:f>
        <x:v>가입</x:v>
      </x:c>
      <x:c r="Q163" s="2" t="str">
        <x:f>IF(P163="가입","가입","미가입")</x:f>
        <x:v>가입</x:v>
      </x:c>
    </x:row>
    <x:row r="164" ht="23" customHeight="1">
      <x:c r="A164" s="2" t="str">
        <x:v>C0053</x:v>
      </x:c>
      <x:c r="B164" s="7" t="n">
        <x:v>27</x:v>
      </x:c>
      <x:c r="C164" s="2" t="str">
        <x:f>INT(B164/10)*10&amp;"대"</x:f>
        <x:v>20대</x:v>
      </x:c>
      <x:c r="D164" s="2" t="str">
        <x:v>남성</x:v>
      </x:c>
      <x:c r="E164" s="7" t="n">
        <x:v>9000</x:v>
      </x:c>
      <x:c r="F164" s="7" t="n">
        <x:v>1</x:v>
      </x:c>
      <x:c r="G164" s="2" t="str">
        <x:v>미혼</x:v>
      </x:c>
      <x:c r="H164" s="7" t="n">
        <x:v>0</x:v>
      </x:c>
      <x:c r="I164" s="2" t="str">
        <x:f>IF(H164&lt;3,H164&amp;"명","3명 이상")</x:f>
        <x:v>0명</x:v>
      </x:c>
      <x:c r="J164" s="2" t="str">
        <x:v>흡연</x:v>
      </x:c>
      <x:c r="K164" s="2" t="str">
        <x:v>없음</x:v>
      </x:c>
      <x:c r="L164" s="2" t="str">
        <x:v>심혈관</x:v>
      </x:c>
      <x:c r="M164" s="2" t="str">
        <x:v>수호천사 암/건강보험</x:v>
      </x:c>
      <x:c r="N164" s="2" t="str">
        <x:f>VLOOKUP(M164,'분류기준'!$A$5:$B$8,2,FALSE)</x:f>
        <x:v>암/건강보험</x:v>
      </x:c>
      <x:c r="O164" s="2" t="str">
        <x:v>수술비 보장 특약</x:v>
      </x:c>
      <x:c r="P164" s="2" t="str">
        <x:f>IF(O164="선택 안함","선택 안함",IF(O164="특약 없음","특약 없음","가입"))</x:f>
        <x:v>가입</x:v>
      </x:c>
      <x:c r="Q164" s="2" t="str">
        <x:f>IF(P164="가입","가입","미가입")</x:f>
        <x:v>가입</x:v>
      </x:c>
    </x:row>
    <x:row r="165" ht="23" customHeight="1">
      <x:c r="A165" s="2" t="str">
        <x:v>C0074</x:v>
      </x:c>
      <x:c r="B165" s="7" t="n">
        <x:v>27</x:v>
      </x:c>
      <x:c r="C165" s="2" t="str">
        <x:f>INT(B165/10)*10&amp;"대"</x:f>
        <x:v>20대</x:v>
      </x:c>
      <x:c r="D165" s="2" t="str">
        <x:v>남성</x:v>
      </x:c>
      <x:c r="E165" s="7" t="n">
        <x:v>6000</x:v>
      </x:c>
      <x:c r="F165" s="7" t="n">
        <x:v>1</x:v>
      </x:c>
      <x:c r="G165" s="2" t="str">
        <x:v>미혼</x:v>
      </x:c>
      <x:c r="H165" s="7" t="n">
        <x:v>0</x:v>
      </x:c>
      <x:c r="I165" s="2" t="str">
        <x:f>IF(H165&lt;3,H165&amp;"명","3명 이상")</x:f>
        <x:v>0명</x:v>
      </x:c>
      <x:c r="J165" s="2" t="str">
        <x:v>비흡연</x:v>
      </x:c>
      <x:c r="K165" s="2" t="str">
        <x:v>당뇨</x:v>
      </x:c>
      <x:c r="L165" s="2" t="str">
        <x:v>심혈관</x:v>
      </x:c>
      <x:c r="M165" s="2" t="str">
        <x:v>수호천사 간편심사(유병자)보험</x:v>
      </x:c>
      <x:c r="N165" s="2" t="str">
        <x:f>VLOOKUP(M165,'분류기준'!$A$5:$B$8,2,FALSE)</x:f>
        <x:v>간편심사보험</x:v>
      </x:c>
      <x:c r="O165" s="2" t="str">
        <x:v>중증질환 산정특례 보장 특약</x:v>
      </x:c>
      <x:c r="P165" s="2" t="str">
        <x:f>IF(O165="선택 안함","선택 안함",IF(O165="특약 없음","특약 없음","가입"))</x:f>
        <x:v>가입</x:v>
      </x:c>
      <x:c r="Q165" s="2" t="str">
        <x:f>IF(P165="가입","가입","미가입")</x:f>
        <x:v>가입</x:v>
      </x:c>
    </x:row>
    <x:row r="166" ht="23" customHeight="1">
      <x:c r="A166" s="2" t="str">
        <x:v>C0097</x:v>
      </x:c>
      <x:c r="B166" s="7" t="n">
        <x:v>27</x:v>
      </x:c>
      <x:c r="C166" s="2" t="str">
        <x:f>INT(B166/10)*10&amp;"대"</x:f>
        <x:v>20대</x:v>
      </x:c>
      <x:c r="D166" s="2" t="str">
        <x:v>남성</x:v>
      </x:c>
      <x:c r="E166" s="7" t="n">
        <x:v>6000</x:v>
      </x:c>
      <x:c r="F166" s="7" t="n">
        <x:v>1</x:v>
      </x:c>
      <x:c r="G166" s="2" t="str">
        <x:v>미혼</x:v>
      </x:c>
      <x:c r="H166" s="7" t="n">
        <x:v>0</x:v>
      </x:c>
      <x:c r="I166" s="2" t="str">
        <x:f>IF(H166&lt;3,H166&amp;"명","3명 이상")</x:f>
        <x:v>0명</x:v>
      </x:c>
      <x:c r="J166" s="2" t="str">
        <x:v>흡연</x:v>
      </x:c>
      <x:c r="K166" s="2" t="str">
        <x:v>없음</x:v>
      </x:c>
      <x:c r="L166" s="2" t="str">
        <x:v>없음</x:v>
      </x:c>
      <x:c r="M166" s="2" t="str">
        <x:v>수호천사 행복 연금보험</x:v>
      </x:c>
      <x:c r="N166" s="2" t="str">
        <x:f>VLOOKUP(M166,'분류기준'!$A$5:$B$8,2,FALSE)</x:f>
        <x:v>연금보험</x:v>
      </x:c>
      <x:c r="O166" s="2" t="str">
        <x:v>특약 없음</x:v>
      </x:c>
      <x:c r="P166" s="2" t="str">
        <x:f>IF(O166="선택 안함","선택 안함",IF(O166="특약 없음","특약 없음","가입"))</x:f>
        <x:v>특약 없음</x:v>
      </x:c>
      <x:c r="Q166" s="2" t="str">
        <x:f>IF(P166="가입","가입","미가입")</x:f>
        <x:v>미가입</x:v>
      </x:c>
    </x:row>
    <x:row r="167" ht="23" customHeight="1">
      <x:c r="A167" s="2" t="str">
        <x:v>C0101</x:v>
      </x:c>
      <x:c r="B167" s="7" t="n">
        <x:v>27</x:v>
      </x:c>
      <x:c r="C167" s="2" t="str">
        <x:f>INT(B167/10)*10&amp;"대"</x:f>
        <x:v>20대</x:v>
      </x:c>
      <x:c r="D167" s="2" t="str">
        <x:v>남성</x:v>
      </x:c>
      <x:c r="E167" s="7" t="n">
        <x:v>3000</x:v>
      </x:c>
      <x:c r="F167" s="7" t="n">
        <x:v>2</x:v>
      </x:c>
      <x:c r="G167" s="2" t="str">
        <x:v>미혼</x:v>
      </x:c>
      <x:c r="H167" s="7" t="n">
        <x:v>0</x:v>
      </x:c>
      <x:c r="I167" s="2" t="str">
        <x:f>IF(H167&lt;3,H167&amp;"명","3명 이상")</x:f>
        <x:v>0명</x:v>
      </x:c>
      <x:c r="J167" s="2" t="str">
        <x:v>비흡연</x:v>
      </x:c>
      <x:c r="K167" s="2" t="str">
        <x:v>없음</x:v>
      </x:c>
      <x:c r="L167" s="2" t="str">
        <x:v>없음</x:v>
      </x:c>
      <x:c r="M167" s="2" t="str">
        <x:v>수호천사 암/건강보험</x:v>
      </x:c>
      <x:c r="N167" s="2" t="str">
        <x:f>VLOOKUP(M167,'분류기준'!$A$5:$B$8,2,FALSE)</x:f>
        <x:v>암/건강보험</x:v>
      </x:c>
      <x:c r="O167" s="2" t="str">
        <x:v>선택 안함</x:v>
      </x:c>
      <x:c r="P167" s="2" t="str">
        <x:f>IF(O167="선택 안함","선택 안함",IF(O167="특약 없음","특약 없음","가입"))</x:f>
        <x:v>선택 안함</x:v>
      </x:c>
      <x:c r="Q167" s="2" t="str">
        <x:f>IF(P167="가입","가입","미가입")</x:f>
        <x:v>미가입</x:v>
      </x:c>
    </x:row>
    <x:row r="168" ht="23" customHeight="1">
      <x:c r="A168" s="2" t="str">
        <x:v>C0112</x:v>
      </x:c>
      <x:c r="B168" s="7" t="n">
        <x:v>27</x:v>
      </x:c>
      <x:c r="C168" s="2" t="str">
        <x:f>INT(B168/10)*10&amp;"대"</x:f>
        <x:v>20대</x:v>
      </x:c>
      <x:c r="D168" s="2" t="str">
        <x:v>남성</x:v>
      </x:c>
      <x:c r="E168" s="7" t="n">
        <x:v>5000</x:v>
      </x:c>
      <x:c r="F168" s="7" t="n">
        <x:v>3</x:v>
      </x:c>
      <x:c r="G168" s="2" t="str">
        <x:v>미혼</x:v>
      </x:c>
      <x:c r="H168" s="7" t="n">
        <x:v>0</x:v>
      </x:c>
      <x:c r="I168" s="2" t="str">
        <x:f>IF(H168&lt;3,H168&amp;"명","3명 이상")</x:f>
        <x:v>0명</x:v>
      </x:c>
      <x:c r="J168" s="2" t="str">
        <x:v>비흡연</x:v>
      </x:c>
      <x:c r="K168" s="2" t="str">
        <x:v>없음</x:v>
      </x:c>
      <x:c r="L168" s="2" t="str">
        <x:v>없음</x:v>
      </x:c>
      <x:c r="M168" s="2" t="str">
        <x:v>수호천사 행복 연금보험</x:v>
      </x:c>
      <x:c r="N168" s="2" t="str">
        <x:f>VLOOKUP(M168,'분류기준'!$A$5:$B$8,2,FALSE)</x:f>
        <x:v>연금보험</x:v>
      </x:c>
      <x:c r="O168" s="2" t="str">
        <x:v>특약 없음</x:v>
      </x:c>
      <x:c r="P168" s="2" t="str">
        <x:f>IF(O168="선택 안함","선택 안함",IF(O168="특약 없음","특약 없음","가입"))</x:f>
        <x:v>특약 없음</x:v>
      </x:c>
      <x:c r="Q168" s="2" t="str">
        <x:f>IF(P168="가입","가입","미가입")</x:f>
        <x:v>미가입</x:v>
      </x:c>
    </x:row>
    <x:row r="169" ht="23" customHeight="1">
      <x:c r="A169" s="2" t="str">
        <x:v>C0182</x:v>
      </x:c>
      <x:c r="B169" s="7" t="n">
        <x:v>27</x:v>
      </x:c>
      <x:c r="C169" s="2" t="str">
        <x:f>INT(B169/10)*10&amp;"대"</x:f>
        <x:v>20대</x:v>
      </x:c>
      <x:c r="D169" s="2" t="str">
        <x:v>여성</x:v>
      </x:c>
      <x:c r="E169" s="7" t="n">
        <x:v>3000</x:v>
      </x:c>
      <x:c r="F169" s="7" t="n">
        <x:v>1</x:v>
      </x:c>
      <x:c r="G169" s="2" t="str">
        <x:v>미혼</x:v>
      </x:c>
      <x:c r="H169" s="7" t="n">
        <x:v>0</x:v>
      </x:c>
      <x:c r="I169" s="2" t="str">
        <x:f>IF(H169&lt;3,H169&amp;"명","3명 이상")</x:f>
        <x:v>0명</x:v>
      </x:c>
      <x:c r="J169" s="2" t="str">
        <x:v>비흡연</x:v>
      </x:c>
      <x:c r="K169" s="2" t="str">
        <x:v>없음</x:v>
      </x:c>
      <x:c r="L169" s="2" t="str">
        <x:v>암</x:v>
      </x:c>
      <x:c r="M169" s="2" t="str">
        <x:v>수호천사 간편심사(유병자)보험</x:v>
      </x:c>
      <x:c r="N169" s="2" t="str">
        <x:f>VLOOKUP(M169,'분류기준'!$A$5:$B$8,2,FALSE)</x:f>
        <x:v>간편심사보험</x:v>
      </x:c>
      <x:c r="O169" s="2" t="str">
        <x:v>선택 안함</x:v>
      </x:c>
      <x:c r="P169" s="2" t="str">
        <x:f>IF(O169="선택 안함","선택 안함",IF(O169="특약 없음","특약 없음","가입"))</x:f>
        <x:v>선택 안함</x:v>
      </x:c>
      <x:c r="Q169" s="2" t="str">
        <x:f>IF(P169="가입","가입","미가입")</x:f>
        <x:v>미가입</x:v>
      </x:c>
    </x:row>
    <x:row r="170" ht="23" customHeight="1">
      <x:c r="A170" s="2" t="str">
        <x:v>C0277</x:v>
      </x:c>
      <x:c r="B170" s="7" t="n">
        <x:v>27</x:v>
      </x:c>
      <x:c r="C170" s="2" t="str">
        <x:f>INT(B170/10)*10&amp;"대"</x:f>
        <x:v>20대</x:v>
      </x:c>
      <x:c r="D170" s="2" t="str">
        <x:v>여성</x:v>
      </x:c>
      <x:c r="E170" s="7" t="n">
        <x:v>3000</x:v>
      </x:c>
      <x:c r="F170" s="7" t="n">
        <x:v>2</x:v>
      </x:c>
      <x:c r="G170" s="2" t="str">
        <x:v>기혼</x:v>
      </x:c>
      <x:c r="H170" s="7" t="n">
        <x:v>0</x:v>
      </x:c>
      <x:c r="I170" s="2" t="str">
        <x:f>IF(H170&lt;3,H170&amp;"명","3명 이상")</x:f>
        <x:v>0명</x:v>
      </x:c>
      <x:c r="J170" s="2" t="str">
        <x:v>비흡연</x:v>
      </x:c>
      <x:c r="K170" s="2" t="str">
        <x:v>없음</x:v>
      </x:c>
      <x:c r="L170" s="2" t="str">
        <x:v>없음</x:v>
      </x:c>
      <x:c r="M170" s="2" t="str">
        <x:v>수호천사 암/건강보험</x:v>
      </x:c>
      <x:c r="N170" s="2" t="str">
        <x:f>VLOOKUP(M170,'분류기준'!$A$5:$B$8,2,FALSE)</x:f>
        <x:v>암/건강보험</x:v>
      </x:c>
      <x:c r="O170" s="2" t="str">
        <x:v>표적항암약물허가치료 특약</x:v>
      </x:c>
      <x:c r="P170" s="2" t="str">
        <x:f>IF(O170="선택 안함","선택 안함",IF(O170="특약 없음","특약 없음","가입"))</x:f>
        <x:v>가입</x:v>
      </x:c>
      <x:c r="Q170" s="2" t="str">
        <x:f>IF(P170="가입","가입","미가입")</x:f>
        <x:v>가입</x:v>
      </x:c>
    </x:row>
    <x:row r="171" ht="23" customHeight="1">
      <x:c r="A171" s="2" t="str">
        <x:v>C0301</x:v>
      </x:c>
      <x:c r="B171" s="7" t="n">
        <x:v>27</x:v>
      </x:c>
      <x:c r="C171" s="2" t="str">
        <x:f>INT(B171/10)*10&amp;"대"</x:f>
        <x:v>20대</x:v>
      </x:c>
      <x:c r="D171" s="2" t="str">
        <x:v>남성</x:v>
      </x:c>
      <x:c r="E171" s="7" t="n">
        <x:v>7500</x:v>
      </x:c>
      <x:c r="F171" s="7" t="n">
        <x:v>1</x:v>
      </x:c>
      <x:c r="G171" s="2" t="str">
        <x:v>미혼</x:v>
      </x:c>
      <x:c r="H171" s="7" t="n">
        <x:v>0</x:v>
      </x:c>
      <x:c r="I171" s="2" t="str">
        <x:f>IF(H171&lt;3,H171&amp;"명","3명 이상")</x:f>
        <x:v>0명</x:v>
      </x:c>
      <x:c r="J171" s="2" t="str">
        <x:v>비흡연</x:v>
      </x:c>
      <x:c r="K171" s="2" t="str">
        <x:v>없음</x:v>
      </x:c>
      <x:c r="L171" s="2" t="str">
        <x:v>없음</x:v>
      </x:c>
      <x:c r="M171" s="2" t="str">
        <x:v>수호천사 암/건강보험</x:v>
      </x:c>
      <x:c r="N171" s="2" t="str">
        <x:f>VLOOKUP(M171,'분류기준'!$A$5:$B$8,2,FALSE)</x:f>
        <x:v>암/건강보험</x:v>
      </x:c>
      <x:c r="O171" s="2" t="str">
        <x:v>수술비 보장 특약</x:v>
      </x:c>
      <x:c r="P171" s="2" t="str">
        <x:f>IF(O171="선택 안함","선택 안함",IF(O171="특약 없음","특약 없음","가입"))</x:f>
        <x:v>가입</x:v>
      </x:c>
      <x:c r="Q171" s="2" t="str">
        <x:f>IF(P171="가입","가입","미가입")</x:f>
        <x:v>가입</x:v>
      </x:c>
    </x:row>
    <x:row r="172" ht="23" customHeight="1">
      <x:c r="A172" s="2" t="str">
        <x:v>C0314</x:v>
      </x:c>
      <x:c r="B172" s="7" t="n">
        <x:v>27</x:v>
      </x:c>
      <x:c r="C172" s="2" t="str">
        <x:f>INT(B172/10)*10&amp;"대"</x:f>
        <x:v>20대</x:v>
      </x:c>
      <x:c r="D172" s="2" t="str">
        <x:v>남성</x:v>
      </x:c>
      <x:c r="E172" s="7" t="n">
        <x:v>3000</x:v>
      </x:c>
      <x:c r="F172" s="7" t="n">
        <x:v>3</x:v>
      </x:c>
      <x:c r="G172" s="2" t="str">
        <x:v>기혼</x:v>
      </x:c>
      <x:c r="H172" s="7" t="n">
        <x:v>0</x:v>
      </x:c>
      <x:c r="I172" s="2" t="str">
        <x:f>IF(H172&lt;3,H172&amp;"명","3명 이상")</x:f>
        <x:v>0명</x:v>
      </x:c>
      <x:c r="J172" s="2" t="str">
        <x:v>흡연</x:v>
      </x:c>
      <x:c r="K172" s="2" t="str">
        <x:v>없음</x:v>
      </x:c>
      <x:c r="L172" s="2" t="str">
        <x:v>없음</x:v>
      </x:c>
      <x:c r="M172" s="2" t="str">
        <x:v>수호천사 우리가족 종신보험</x:v>
      </x:c>
      <x:c r="N172" s="2" t="str">
        <x:f>VLOOKUP(M172,'분류기준'!$A$5:$B$8,2,FALSE)</x:f>
        <x:v>종신보험</x:v>
      </x:c>
      <x:c r="O172" s="2" t="str">
        <x:v>선택 안함</x:v>
      </x:c>
      <x:c r="P172" s="2" t="str">
        <x:f>IF(O172="선택 안함","선택 안함",IF(O172="특약 없음","특약 없음","가입"))</x:f>
        <x:v>선택 안함</x:v>
      </x:c>
      <x:c r="Q172" s="2" t="str">
        <x:f>IF(P172="가입","가입","미가입")</x:f>
        <x:v>미가입</x:v>
      </x:c>
    </x:row>
    <x:row r="173" ht="23" customHeight="1">
      <x:c r="A173" s="2" t="str">
        <x:v>C0382</x:v>
      </x:c>
      <x:c r="B173" s="7" t="n">
        <x:v>27</x:v>
      </x:c>
      <x:c r="C173" s="2" t="str">
        <x:f>INT(B173/10)*10&amp;"대"</x:f>
        <x:v>20대</x:v>
      </x:c>
      <x:c r="D173" s="2" t="str">
        <x:v>여성</x:v>
      </x:c>
      <x:c r="E173" s="7" t="n">
        <x:v>3000</x:v>
      </x:c>
      <x:c r="F173" s="7" t="n">
        <x:v>2</x:v>
      </x:c>
      <x:c r="G173" s="2" t="str">
        <x:v>미혼</x:v>
      </x:c>
      <x:c r="H173" s="7" t="n">
        <x:v>0</x:v>
      </x:c>
      <x:c r="I173" s="2" t="str">
        <x:f>IF(H173&lt;3,H173&amp;"명","3명 이상")</x:f>
        <x:v>0명</x:v>
      </x:c>
      <x:c r="J173" s="2" t="str">
        <x:v>흡연</x:v>
      </x:c>
      <x:c r="K173" s="2" t="str">
        <x:v>없음</x:v>
      </x:c>
      <x:c r="L173" s="2" t="str">
        <x:v>암</x:v>
      </x:c>
      <x:c r="M173" s="2" t="str">
        <x:v>수호천사 암/건강보험</x:v>
      </x:c>
      <x:c r="N173" s="2" t="str">
        <x:f>VLOOKUP(M173,'분류기준'!$A$5:$B$8,2,FALSE)</x:f>
        <x:v>암/건강보험</x:v>
      </x:c>
      <x:c r="O173" s="2" t="str">
        <x:v>표적항암약물허가치료 특약</x:v>
      </x:c>
      <x:c r="P173" s="2" t="str">
        <x:f>IF(O173="선택 안함","선택 안함",IF(O173="특약 없음","특약 없음","가입"))</x:f>
        <x:v>가입</x:v>
      </x:c>
      <x:c r="Q173" s="2" t="str">
        <x:f>IF(P173="가입","가입","미가입")</x:f>
        <x:v>가입</x:v>
      </x:c>
    </x:row>
    <x:row r="174" ht="23" customHeight="1">
      <x:c r="A174" s="2" t="str">
        <x:v>C0404</x:v>
      </x:c>
      <x:c r="B174" s="7" t="n">
        <x:v>27</x:v>
      </x:c>
      <x:c r="C174" s="2" t="str">
        <x:f>INT(B174/10)*10&amp;"대"</x:f>
        <x:v>20대</x:v>
      </x:c>
      <x:c r="D174" s="2" t="str">
        <x:v>남성</x:v>
      </x:c>
      <x:c r="E174" s="7" t="n">
        <x:v>4000</x:v>
      </x:c>
      <x:c r="F174" s="7" t="n">
        <x:v>1</x:v>
      </x:c>
      <x:c r="G174" s="2" t="str">
        <x:v>기혼</x:v>
      </x:c>
      <x:c r="H174" s="7" t="n">
        <x:v>0</x:v>
      </x:c>
      <x:c r="I174" s="2" t="str">
        <x:f>IF(H174&lt;3,H174&amp;"명","3명 이상")</x:f>
        <x:v>0명</x:v>
      </x:c>
      <x:c r="J174" s="2" t="str">
        <x:v>비흡연</x:v>
      </x:c>
      <x:c r="K174" s="2" t="str">
        <x:v>없음</x:v>
      </x:c>
      <x:c r="L174" s="2" t="str">
        <x:v>없음</x:v>
      </x:c>
      <x:c r="M174" s="2" t="str">
        <x:v>수호천사 암/건강보험</x:v>
      </x:c>
      <x:c r="N174" s="2" t="str">
        <x:f>VLOOKUP(M174,'분류기준'!$A$5:$B$8,2,FALSE)</x:f>
        <x:v>암/건강보험</x:v>
      </x:c>
      <x:c r="O174" s="2" t="str">
        <x:v>수술비 보장 특약</x:v>
      </x:c>
      <x:c r="P174" s="2" t="str">
        <x:f>IF(O174="선택 안함","선택 안함",IF(O174="특약 없음","특약 없음","가입"))</x:f>
        <x:v>가입</x:v>
      </x:c>
      <x:c r="Q174" s="2" t="str">
        <x:f>IF(P174="가입","가입","미가입")</x:f>
        <x:v>가입</x:v>
      </x:c>
    </x:row>
    <x:row r="175" ht="23" customHeight="1">
      <x:c r="A175" s="2" t="str">
        <x:v>C0512</x:v>
      </x:c>
      <x:c r="B175" s="7" t="n">
        <x:v>27</x:v>
      </x:c>
      <x:c r="C175" s="2" t="str">
        <x:f>INT(B175/10)*10&amp;"대"</x:f>
        <x:v>20대</x:v>
      </x:c>
      <x:c r="D175" s="2" t="str">
        <x:v>여성</x:v>
      </x:c>
      <x:c r="E175" s="7" t="n">
        <x:v>4000</x:v>
      </x:c>
      <x:c r="F175" s="7" t="n">
        <x:v>1</x:v>
      </x:c>
      <x:c r="G175" s="2" t="str">
        <x:v>미혼</x:v>
      </x:c>
      <x:c r="H175" s="7" t="n">
        <x:v>0</x:v>
      </x:c>
      <x:c r="I175" s="2" t="str">
        <x:f>IF(H175&lt;3,H175&amp;"명","3명 이상")</x:f>
        <x:v>0명</x:v>
      </x:c>
      <x:c r="J175" s="2" t="str">
        <x:v>비흡연</x:v>
      </x:c>
      <x:c r="K175" s="2" t="str">
        <x:v>없음</x:v>
      </x:c>
      <x:c r="L175" s="2" t="str">
        <x:v>암</x:v>
      </x:c>
      <x:c r="M175" s="2" t="str">
        <x:v>수호천사 우리가족 종신보험</x:v>
      </x:c>
      <x:c r="N175" s="2" t="str">
        <x:f>VLOOKUP(M175,'분류기준'!$A$5:$B$8,2,FALSE)</x:f>
        <x:v>종신보험</x:v>
      </x:c>
      <x:c r="O175" s="2" t="str">
        <x:v>선택 안함</x:v>
      </x:c>
      <x:c r="P175" s="2" t="str">
        <x:f>IF(O175="선택 안함","선택 안함",IF(O175="특약 없음","특약 없음","가입"))</x:f>
        <x:v>선택 안함</x:v>
      </x:c>
      <x:c r="Q175" s="2" t="str">
        <x:f>IF(P175="가입","가입","미가입")</x:f>
        <x:v>미가입</x:v>
      </x:c>
    </x:row>
    <x:row r="176" ht="23" customHeight="1">
      <x:c r="A176" s="2" t="str">
        <x:v>C0607</x:v>
      </x:c>
      <x:c r="B176" s="7" t="n">
        <x:v>27</x:v>
      </x:c>
      <x:c r="C176" s="2" t="str">
        <x:f>INT(B176/10)*10&amp;"대"</x:f>
        <x:v>20대</x:v>
      </x:c>
      <x:c r="D176" s="2" t="str">
        <x:v>남성</x:v>
      </x:c>
      <x:c r="E176" s="7" t="n">
        <x:v>6000</x:v>
      </x:c>
      <x:c r="F176" s="7" t="n">
        <x:v>1</x:v>
      </x:c>
      <x:c r="G176" s="2" t="str">
        <x:v>미혼</x:v>
      </x:c>
      <x:c r="H176" s="7" t="n">
        <x:v>0</x:v>
      </x:c>
      <x:c r="I176" s="2" t="str">
        <x:f>IF(H176&lt;3,H176&amp;"명","3명 이상")</x:f>
        <x:v>0명</x:v>
      </x:c>
      <x:c r="J176" s="2" t="str">
        <x:v>비흡연</x:v>
      </x:c>
      <x:c r="K176" s="2" t="str">
        <x:v>없음</x:v>
      </x:c>
      <x:c r="L176" s="2" t="str">
        <x:v>암</x:v>
      </x:c>
      <x:c r="M176" s="2" t="str">
        <x:v>수호천사 행복 연금보험</x:v>
      </x:c>
      <x:c r="N176" s="2" t="str">
        <x:f>VLOOKUP(M176,'분류기준'!$A$5:$B$8,2,FALSE)</x:f>
        <x:v>연금보험</x:v>
      </x:c>
      <x:c r="O176" s="2" t="str">
        <x:v>특약 없음</x:v>
      </x:c>
      <x:c r="P176" s="2" t="str">
        <x:f>IF(O176="선택 안함","선택 안함",IF(O176="특약 없음","특약 없음","가입"))</x:f>
        <x:v>특약 없음</x:v>
      </x:c>
      <x:c r="Q176" s="2" t="str">
        <x:f>IF(P176="가입","가입","미가입")</x:f>
        <x:v>미가입</x:v>
      </x:c>
    </x:row>
    <x:row r="177" ht="23" customHeight="1">
      <x:c r="A177" s="2" t="str">
        <x:v>C0633</x:v>
      </x:c>
      <x:c r="B177" s="7" t="n">
        <x:v>27</x:v>
      </x:c>
      <x:c r="C177" s="2" t="str">
        <x:f>INT(B177/10)*10&amp;"대"</x:f>
        <x:v>20대</x:v>
      </x:c>
      <x:c r="D177" s="2" t="str">
        <x:v>여성</x:v>
      </x:c>
      <x:c r="E177" s="7" t="n">
        <x:v>6000</x:v>
      </x:c>
      <x:c r="F177" s="7" t="n">
        <x:v>1</x:v>
      </x:c>
      <x:c r="G177" s="2" t="str">
        <x:v>미혼</x:v>
      </x:c>
      <x:c r="H177" s="7" t="n">
        <x:v>0</x:v>
      </x:c>
      <x:c r="I177" s="2" t="str">
        <x:f>IF(H177&lt;3,H177&amp;"명","3명 이상")</x:f>
        <x:v>0명</x:v>
      </x:c>
      <x:c r="J177" s="2" t="str">
        <x:v>흡연</x:v>
      </x:c>
      <x:c r="K177" s="2" t="str">
        <x:v>없음</x:v>
      </x:c>
      <x:c r="L177" s="2" t="str">
        <x:v>심혈관</x:v>
      </x:c>
      <x:c r="M177" s="2" t="str">
        <x:v>수호천사 암/건강보험</x:v>
      </x:c>
      <x:c r="N177" s="2" t="str">
        <x:f>VLOOKUP(M177,'분류기준'!$A$5:$B$8,2,FALSE)</x:f>
        <x:v>암/건강보험</x:v>
      </x:c>
      <x:c r="O177" s="2" t="str">
        <x:v>표적항암약물허가치료 특약</x:v>
      </x:c>
      <x:c r="P177" s="2" t="str">
        <x:f>IF(O177="선택 안함","선택 안함",IF(O177="특약 없음","특약 없음","가입"))</x:f>
        <x:v>가입</x:v>
      </x:c>
      <x:c r="Q177" s="2" t="str">
        <x:f>IF(P177="가입","가입","미가입")</x:f>
        <x:v>가입</x:v>
      </x:c>
    </x:row>
    <x:row r="178" ht="23" customHeight="1">
      <x:c r="A178" s="2" t="str">
        <x:v>C0671</x:v>
      </x:c>
      <x:c r="B178" s="7" t="n">
        <x:v>27</x:v>
      </x:c>
      <x:c r="C178" s="2" t="str">
        <x:f>INT(B178/10)*10&amp;"대"</x:f>
        <x:v>20대</x:v>
      </x:c>
      <x:c r="D178" s="2" t="str">
        <x:v>남성</x:v>
      </x:c>
      <x:c r="E178" s="7" t="n">
        <x:v>3000</x:v>
      </x:c>
      <x:c r="F178" s="7" t="n">
        <x:v>2</x:v>
      </x:c>
      <x:c r="G178" s="2" t="str">
        <x:v>미혼</x:v>
      </x:c>
      <x:c r="H178" s="7" t="n">
        <x:v>0</x:v>
      </x:c>
      <x:c r="I178" s="2" t="str">
        <x:f>IF(H178&lt;3,H178&amp;"명","3명 이상")</x:f>
        <x:v>0명</x:v>
      </x:c>
      <x:c r="J178" s="2" t="str">
        <x:v>흡연</x:v>
      </x:c>
      <x:c r="K178" s="2" t="str">
        <x:v>없음</x:v>
      </x:c>
      <x:c r="L178" s="2" t="str">
        <x:v>없음</x:v>
      </x:c>
      <x:c r="M178" s="2" t="str">
        <x:v>수호천사 암/건강보험</x:v>
      </x:c>
      <x:c r="N178" s="2" t="str">
        <x:f>VLOOKUP(M178,'분류기준'!$A$5:$B$8,2,FALSE)</x:f>
        <x:v>암/건강보험</x:v>
      </x:c>
      <x:c r="O178" s="2" t="str">
        <x:v>수술비 보장 특약</x:v>
      </x:c>
      <x:c r="P178" s="2" t="str">
        <x:f>IF(O178="선택 안함","선택 안함",IF(O178="특약 없음","특약 없음","가입"))</x:f>
        <x:v>가입</x:v>
      </x:c>
      <x:c r="Q178" s="2" t="str">
        <x:f>IF(P178="가입","가입","미가입")</x:f>
        <x:v>가입</x:v>
      </x:c>
    </x:row>
    <x:row r="179" ht="23" customHeight="1">
      <x:c r="A179" s="2" t="str">
        <x:v>C0676</x:v>
      </x:c>
      <x:c r="B179" s="7" t="n">
        <x:v>27</x:v>
      </x:c>
      <x:c r="C179" s="2" t="str">
        <x:f>INT(B179/10)*10&amp;"대"</x:f>
        <x:v>20대</x:v>
      </x:c>
      <x:c r="D179" s="2" t="str">
        <x:v>여성</x:v>
      </x:c>
      <x:c r="E179" s="7" t="n">
        <x:v>4000</x:v>
      </x:c>
      <x:c r="F179" s="7" t="n">
        <x:v>2</x:v>
      </x:c>
      <x:c r="G179" s="2" t="str">
        <x:v>미혼</x:v>
      </x:c>
      <x:c r="H179" s="7" t="n">
        <x:v>0</x:v>
      </x:c>
      <x:c r="I179" s="2" t="str">
        <x:f>IF(H179&lt;3,H179&amp;"명","3명 이상")</x:f>
        <x:v>0명</x:v>
      </x:c>
      <x:c r="J179" s="2" t="str">
        <x:v>흡연</x:v>
      </x:c>
      <x:c r="K179" s="2" t="str">
        <x:v>없음</x:v>
      </x:c>
      <x:c r="L179" s="2" t="str">
        <x:v>없음</x:v>
      </x:c>
      <x:c r="M179" s="2" t="str">
        <x:v>수호천사 암/건강보험</x:v>
      </x:c>
      <x:c r="N179" s="2" t="str">
        <x:f>VLOOKUP(M179,'분류기준'!$A$5:$B$8,2,FALSE)</x:f>
        <x:v>암/건강보험</x:v>
      </x:c>
      <x:c r="O179" s="2" t="str">
        <x:v>표적항암약물허가치료 특약</x:v>
      </x:c>
      <x:c r="P179" s="2" t="str">
        <x:f>IF(O179="선택 안함","선택 안함",IF(O179="특약 없음","특약 없음","가입"))</x:f>
        <x:v>가입</x:v>
      </x:c>
      <x:c r="Q179" s="2" t="str">
        <x:f>IF(P179="가입","가입","미가입")</x:f>
        <x:v>가입</x:v>
      </x:c>
    </x:row>
    <x:row r="180" ht="23" customHeight="1">
      <x:c r="A180" s="2" t="str">
        <x:v>C0680</x:v>
      </x:c>
      <x:c r="B180" s="7" t="n">
        <x:v>27</x:v>
      </x:c>
      <x:c r="C180" s="2" t="str">
        <x:f>INT(B180/10)*10&amp;"대"</x:f>
        <x:v>20대</x:v>
      </x:c>
      <x:c r="D180" s="2" t="str">
        <x:v>여성</x:v>
      </x:c>
      <x:c r="E180" s="7" t="n">
        <x:v>5000</x:v>
      </x:c>
      <x:c r="F180" s="7" t="n">
        <x:v>3</x:v>
      </x:c>
      <x:c r="G180" s="2" t="str">
        <x:v>미혼</x:v>
      </x:c>
      <x:c r="H180" s="7" t="n">
        <x:v>0</x:v>
      </x:c>
      <x:c r="I180" s="2" t="str">
        <x:f>IF(H180&lt;3,H180&amp;"명","3명 이상")</x:f>
        <x:v>0명</x:v>
      </x:c>
      <x:c r="J180" s="2" t="str">
        <x:v>비흡연</x:v>
      </x:c>
      <x:c r="K180" s="2" t="str">
        <x:v>없음</x:v>
      </x:c>
      <x:c r="L180" s="2" t="str">
        <x:v>없음</x:v>
      </x:c>
      <x:c r="M180" s="2" t="str">
        <x:v>수호천사 행복 연금보험</x:v>
      </x:c>
      <x:c r="N180" s="2" t="str">
        <x:f>VLOOKUP(M180,'분류기준'!$A$5:$B$8,2,FALSE)</x:f>
        <x:v>연금보험</x:v>
      </x:c>
      <x:c r="O180" s="2" t="str">
        <x:v>특약 없음</x:v>
      </x:c>
      <x:c r="P180" s="2" t="str">
        <x:f>IF(O180="선택 안함","선택 안함",IF(O180="특약 없음","특약 없음","가입"))</x:f>
        <x:v>특약 없음</x:v>
      </x:c>
      <x:c r="Q180" s="2" t="str">
        <x:f>IF(P180="가입","가입","미가입")</x:f>
        <x:v>미가입</x:v>
      </x:c>
    </x:row>
    <x:row r="181" ht="23" customHeight="1">
      <x:c r="A181" s="2" t="str">
        <x:v>C0752</x:v>
      </x:c>
      <x:c r="B181" s="7" t="n">
        <x:v>27</x:v>
      </x:c>
      <x:c r="C181" s="2" t="str">
        <x:f>INT(B181/10)*10&amp;"대"</x:f>
        <x:v>20대</x:v>
      </x:c>
      <x:c r="D181" s="2" t="str">
        <x:v>여성</x:v>
      </x:c>
      <x:c r="E181" s="7" t="n">
        <x:v>5000</x:v>
      </x:c>
      <x:c r="F181" s="7" t="n">
        <x:v>1</x:v>
      </x:c>
      <x:c r="G181" s="2" t="str">
        <x:v>미혼</x:v>
      </x:c>
      <x:c r="H181" s="7" t="n">
        <x:v>0</x:v>
      </x:c>
      <x:c r="I181" s="2" t="str">
        <x:f>IF(H181&lt;3,H181&amp;"명","3명 이상")</x:f>
        <x:v>0명</x:v>
      </x:c>
      <x:c r="J181" s="2" t="str">
        <x:v>비흡연</x:v>
      </x:c>
      <x:c r="K181" s="2" t="str">
        <x:v>없음</x:v>
      </x:c>
      <x:c r="L181" s="2" t="str">
        <x:v>심혈관</x:v>
      </x:c>
      <x:c r="M181" s="2" t="str">
        <x:v>수호천사 행복 연금보험</x:v>
      </x:c>
      <x:c r="N181" s="2" t="str">
        <x:f>VLOOKUP(M181,'분류기준'!$A$5:$B$8,2,FALSE)</x:f>
        <x:v>연금보험</x:v>
      </x:c>
      <x:c r="O181" s="2" t="str">
        <x:v>특약 없음</x:v>
      </x:c>
      <x:c r="P181" s="2" t="str">
        <x:f>IF(O181="선택 안함","선택 안함",IF(O181="특약 없음","특약 없음","가입"))</x:f>
        <x:v>특약 없음</x:v>
      </x:c>
      <x:c r="Q181" s="2" t="str">
        <x:f>IF(P181="가입","가입","미가입")</x:f>
        <x:v>미가입</x:v>
      </x:c>
    </x:row>
    <x:row r="182" ht="23" customHeight="1">
      <x:c r="A182" s="2" t="str">
        <x:v>C0810</x:v>
      </x:c>
      <x:c r="B182" s="7" t="n">
        <x:v>27</x:v>
      </x:c>
      <x:c r="C182" s="2" t="str">
        <x:f>INT(B182/10)*10&amp;"대"</x:f>
        <x:v>20대</x:v>
      </x:c>
      <x:c r="D182" s="2" t="str">
        <x:v>남성</x:v>
      </x:c>
      <x:c r="E182" s="7" t="n">
        <x:v>3000</x:v>
      </x:c>
      <x:c r="F182" s="7" t="n">
        <x:v>1</x:v>
      </x:c>
      <x:c r="G182" s="2" t="str">
        <x:v>미혼</x:v>
      </x:c>
      <x:c r="H182" s="7" t="n">
        <x:v>0</x:v>
      </x:c>
      <x:c r="I182" s="2" t="str">
        <x:f>IF(H182&lt;3,H182&amp;"명","3명 이상")</x:f>
        <x:v>0명</x:v>
      </x:c>
      <x:c r="J182" s="2" t="str">
        <x:v>비흡연</x:v>
      </x:c>
      <x:c r="K182" s="2" t="str">
        <x:v>없음</x:v>
      </x:c>
      <x:c r="L182" s="2" t="str">
        <x:v>없음</x:v>
      </x:c>
      <x:c r="M182" s="2" t="str">
        <x:v>수호천사 우리가족 종신보험</x:v>
      </x:c>
      <x:c r="N182" s="2" t="str">
        <x:f>VLOOKUP(M182,'분류기준'!$A$5:$B$8,2,FALSE)</x:f>
        <x:v>종신보험</x:v>
      </x:c>
      <x:c r="O182" s="2" t="str">
        <x:v>선택 안함</x:v>
      </x:c>
      <x:c r="P182" s="2" t="str">
        <x:f>IF(O182="선택 안함","선택 안함",IF(O182="특약 없음","특약 없음","가입"))</x:f>
        <x:v>선택 안함</x:v>
      </x:c>
      <x:c r="Q182" s="2" t="str">
        <x:f>IF(P182="가입","가입","미가입")</x:f>
        <x:v>미가입</x:v>
      </x:c>
    </x:row>
    <x:row r="183" ht="23" customHeight="1">
      <x:c r="A183" s="2" t="str">
        <x:v>C0850</x:v>
      </x:c>
      <x:c r="B183" s="7" t="n">
        <x:v>27</x:v>
      </x:c>
      <x:c r="C183" s="2" t="str">
        <x:f>INT(B183/10)*10&amp;"대"</x:f>
        <x:v>20대</x:v>
      </x:c>
      <x:c r="D183" s="2" t="str">
        <x:v>여성</x:v>
      </x:c>
      <x:c r="E183" s="7" t="n">
        <x:v>5000</x:v>
      </x:c>
      <x:c r="F183" s="7" t="n">
        <x:v>1</x:v>
      </x:c>
      <x:c r="G183" s="2" t="str">
        <x:v>기혼</x:v>
      </x:c>
      <x:c r="H183" s="7" t="n">
        <x:v>0</x:v>
      </x:c>
      <x:c r="I183" s="2" t="str">
        <x:f>IF(H183&lt;3,H183&amp;"명","3명 이상")</x:f>
        <x:v>0명</x:v>
      </x:c>
      <x:c r="J183" s="2" t="str">
        <x:v>비흡연</x:v>
      </x:c>
      <x:c r="K183" s="2" t="str">
        <x:v>없음</x:v>
      </x:c>
      <x:c r="L183" s="2" t="str">
        <x:v>없음</x:v>
      </x:c>
      <x:c r="M183" s="2" t="str">
        <x:v>수호천사 암/건강보험</x:v>
      </x:c>
      <x:c r="N183" s="2" t="str">
        <x:f>VLOOKUP(M183,'분류기준'!$A$5:$B$8,2,FALSE)</x:f>
        <x:v>암/건강보험</x:v>
      </x:c>
      <x:c r="O183" s="2" t="str">
        <x:v>표적항암약물허가치료 특약</x:v>
      </x:c>
      <x:c r="P183" s="2" t="str">
        <x:f>IF(O183="선택 안함","선택 안함",IF(O183="특약 없음","특약 없음","가입"))</x:f>
        <x:v>가입</x:v>
      </x:c>
      <x:c r="Q183" s="2" t="str">
        <x:f>IF(P183="가입","가입","미가입")</x:f>
        <x:v>가입</x:v>
      </x:c>
    </x:row>
    <x:row r="184" ht="23" customHeight="1">
      <x:c r="A184" s="2" t="str">
        <x:v>C0898</x:v>
      </x:c>
      <x:c r="B184" s="7" t="n">
        <x:v>27</x:v>
      </x:c>
      <x:c r="C184" s="2" t="str">
        <x:f>INT(B184/10)*10&amp;"대"</x:f>
        <x:v>20대</x:v>
      </x:c>
      <x:c r="D184" s="2" t="str">
        <x:v>남성</x:v>
      </x:c>
      <x:c r="E184" s="7" t="n">
        <x:v>9000</x:v>
      </x:c>
      <x:c r="F184" s="7" t="n">
        <x:v>1</x:v>
      </x:c>
      <x:c r="G184" s="2" t="str">
        <x:v>기혼</x:v>
      </x:c>
      <x:c r="H184" s="7" t="n">
        <x:v>0</x:v>
      </x:c>
      <x:c r="I184" s="2" t="str">
        <x:f>IF(H184&lt;3,H184&amp;"명","3명 이상")</x:f>
        <x:v>0명</x:v>
      </x:c>
      <x:c r="J184" s="2" t="str">
        <x:v>비흡연</x:v>
      </x:c>
      <x:c r="K184" s="2" t="str">
        <x:v>없음</x:v>
      </x:c>
      <x:c r="L184" s="2" t="str">
        <x:v>없음</x:v>
      </x:c>
      <x:c r="M184" s="2" t="str">
        <x:v>수호천사 간편심사(유병자)보험</x:v>
      </x:c>
      <x:c r="N184" s="2" t="str">
        <x:f>VLOOKUP(M184,'분류기준'!$A$5:$B$8,2,FALSE)</x:f>
        <x:v>간편심사보험</x:v>
      </x:c>
      <x:c r="O184" s="2" t="str">
        <x:v>중증질환 산정특례 보장 특약</x:v>
      </x:c>
      <x:c r="P184" s="2" t="str">
        <x:f>IF(O184="선택 안함","선택 안함",IF(O184="특약 없음","특약 없음","가입"))</x:f>
        <x:v>가입</x:v>
      </x:c>
      <x:c r="Q184" s="2" t="str">
        <x:f>IF(P184="가입","가입","미가입")</x:f>
        <x:v>가입</x:v>
      </x:c>
    </x:row>
    <x:row r="185" ht="23" customHeight="1">
      <x:c r="A185" s="2" t="str">
        <x:v>C0943</x:v>
      </x:c>
      <x:c r="B185" s="7" t="n">
        <x:v>27</x:v>
      </x:c>
      <x:c r="C185" s="2" t="str">
        <x:f>INT(B185/10)*10&amp;"대"</x:f>
        <x:v>20대</x:v>
      </x:c>
      <x:c r="D185" s="2" t="str">
        <x:v>남성</x:v>
      </x:c>
      <x:c r="E185" s="7" t="n">
        <x:v>4000</x:v>
      </x:c>
      <x:c r="F185" s="7" t="n">
        <x:v>3</x:v>
      </x:c>
      <x:c r="G185" s="2" t="str">
        <x:v>미혼</x:v>
      </x:c>
      <x:c r="H185" s="7" t="n">
        <x:v>0</x:v>
      </x:c>
      <x:c r="I185" s="2" t="str">
        <x:f>IF(H185&lt;3,H185&amp;"명","3명 이상")</x:f>
        <x:v>0명</x:v>
      </x:c>
      <x:c r="J185" s="2" t="str">
        <x:v>흡연</x:v>
      </x:c>
      <x:c r="K185" s="2" t="str">
        <x:v>고혈압</x:v>
      </x:c>
      <x:c r="L185" s="2" t="str">
        <x:v>없음</x:v>
      </x:c>
      <x:c r="M185" s="2" t="str">
        <x:v>수호천사 간편심사(유병자)보험</x:v>
      </x:c>
      <x:c r="N185" s="2" t="str">
        <x:f>VLOOKUP(M185,'분류기준'!$A$5:$B$8,2,FALSE)</x:f>
        <x:v>간편심사보험</x:v>
      </x:c>
      <x:c r="O185" s="2" t="str">
        <x:v>중증질환 산정특례 보장 특약</x:v>
      </x:c>
      <x:c r="P185" s="2" t="str">
        <x:f>IF(O185="선택 안함","선택 안함",IF(O185="특약 없음","특약 없음","가입"))</x:f>
        <x:v>가입</x:v>
      </x:c>
      <x:c r="Q185" s="2" t="str">
        <x:f>IF(P185="가입","가입","미가입")</x:f>
        <x:v>가입</x:v>
      </x:c>
    </x:row>
    <x:row r="186" ht="23" customHeight="1">
      <x:c r="A186" s="2" t="str">
        <x:v>C0040</x:v>
      </x:c>
      <x:c r="B186" s="7" t="n">
        <x:v>28</x:v>
      </x:c>
      <x:c r="C186" s="2" t="str">
        <x:f>INT(B186/10)*10&amp;"대"</x:f>
        <x:v>20대</x:v>
      </x:c>
      <x:c r="D186" s="2" t="str">
        <x:v>여성</x:v>
      </x:c>
      <x:c r="E186" s="7" t="n">
        <x:v>3000</x:v>
      </x:c>
      <x:c r="F186" s="7" t="n">
        <x:v>1</x:v>
      </x:c>
      <x:c r="G186" s="2" t="str">
        <x:v>미혼</x:v>
      </x:c>
      <x:c r="H186" s="7" t="n">
        <x:v>0</x:v>
      </x:c>
      <x:c r="I186" s="2" t="str">
        <x:f>IF(H186&lt;3,H186&amp;"명","3명 이상")</x:f>
        <x:v>0명</x:v>
      </x:c>
      <x:c r="J186" s="2" t="str">
        <x:v>비흡연</x:v>
      </x:c>
      <x:c r="K186" s="2" t="str">
        <x:v>없음</x:v>
      </x:c>
      <x:c r="L186" s="2" t="str">
        <x:v>암</x:v>
      </x:c>
      <x:c r="M186" s="2" t="str">
        <x:v>수호천사 우리가족 종신보험</x:v>
      </x:c>
      <x:c r="N186" s="2" t="str">
        <x:f>VLOOKUP(M186,'분류기준'!$A$5:$B$8,2,FALSE)</x:f>
        <x:v>종신보험</x:v>
      </x:c>
      <x:c r="O186" s="2" t="str">
        <x:v>가족 수입 보장 특약</x:v>
      </x:c>
      <x:c r="P186" s="2" t="str">
        <x:f>IF(O186="선택 안함","선택 안함",IF(O186="특약 없음","특약 없음","가입"))</x:f>
        <x:v>가입</x:v>
      </x:c>
      <x:c r="Q186" s="2" t="str">
        <x:f>IF(P186="가입","가입","미가입")</x:f>
        <x:v>가입</x:v>
      </x:c>
    </x:row>
    <x:row r="187" ht="23" customHeight="1">
      <x:c r="A187" s="2" t="str">
        <x:v>C0046</x:v>
      </x:c>
      <x:c r="B187" s="7" t="n">
        <x:v>28</x:v>
      </x:c>
      <x:c r="C187" s="2" t="str">
        <x:f>INT(B187/10)*10&amp;"대"</x:f>
        <x:v>20대</x:v>
      </x:c>
      <x:c r="D187" s="2" t="str">
        <x:v>남성</x:v>
      </x:c>
      <x:c r="E187" s="7" t="n">
        <x:v>5000</x:v>
      </x:c>
      <x:c r="F187" s="7" t="n">
        <x:v>3</x:v>
      </x:c>
      <x:c r="G187" s="2" t="str">
        <x:v>기혼</x:v>
      </x:c>
      <x:c r="H187" s="7" t="n">
        <x:v>0</x:v>
      </x:c>
      <x:c r="I187" s="2" t="str">
        <x:f>IF(H187&lt;3,H187&amp;"명","3명 이상")</x:f>
        <x:v>0명</x:v>
      </x:c>
      <x:c r="J187" s="2" t="str">
        <x:v>비흡연</x:v>
      </x:c>
      <x:c r="K187" s="2" t="str">
        <x:v>없음</x:v>
      </x:c>
      <x:c r="L187" s="2" t="str">
        <x:v>없음</x:v>
      </x:c>
      <x:c r="M187" s="2" t="str">
        <x:v>수호천사 우리가족 종신보험</x:v>
      </x:c>
      <x:c r="N187" s="2" t="str">
        <x:f>VLOOKUP(M187,'분류기준'!$A$5:$B$8,2,FALSE)</x:f>
        <x:v>종신보험</x:v>
      </x:c>
      <x:c r="O187" s="2" t="str">
        <x:v>선택 안함</x:v>
      </x:c>
      <x:c r="P187" s="2" t="str">
        <x:f>IF(O187="선택 안함","선택 안함",IF(O187="특약 없음","특약 없음","가입"))</x:f>
        <x:v>선택 안함</x:v>
      </x:c>
      <x:c r="Q187" s="2" t="str">
        <x:f>IF(P187="가입","가입","미가입")</x:f>
        <x:v>미가입</x:v>
      </x:c>
    </x:row>
    <x:row r="188" ht="23" customHeight="1">
      <x:c r="A188" s="2" t="str">
        <x:v>C0093</x:v>
      </x:c>
      <x:c r="B188" s="7" t="n">
        <x:v>28</x:v>
      </x:c>
      <x:c r="C188" s="2" t="str">
        <x:f>INT(B188/10)*10&amp;"대"</x:f>
        <x:v>20대</x:v>
      </x:c>
      <x:c r="D188" s="2" t="str">
        <x:v>남성</x:v>
      </x:c>
      <x:c r="E188" s="7" t="n">
        <x:v>7500</x:v>
      </x:c>
      <x:c r="F188" s="7" t="n">
        <x:v>2</x:v>
      </x:c>
      <x:c r="G188" s="2" t="str">
        <x:v>미혼</x:v>
      </x:c>
      <x:c r="H188" s="7" t="n">
        <x:v>0</x:v>
      </x:c>
      <x:c r="I188" s="2" t="str">
        <x:f>IF(H188&lt;3,H188&amp;"명","3명 이상")</x:f>
        <x:v>0명</x:v>
      </x:c>
      <x:c r="J188" s="2" t="str">
        <x:v>비흡연</x:v>
      </x:c>
      <x:c r="K188" s="2" t="str">
        <x:v>없음</x:v>
      </x:c>
      <x:c r="L188" s="2" t="str">
        <x:v>암</x:v>
      </x:c>
      <x:c r="M188" s="2" t="str">
        <x:v>수호천사 암/건강보험</x:v>
      </x:c>
      <x:c r="N188" s="2" t="str">
        <x:f>VLOOKUP(M188,'분류기준'!$A$5:$B$8,2,FALSE)</x:f>
        <x:v>암/건강보험</x:v>
      </x:c>
      <x:c r="O188" s="2" t="str">
        <x:v>선택 안함</x:v>
      </x:c>
      <x:c r="P188" s="2" t="str">
        <x:f>IF(O188="선택 안함","선택 안함",IF(O188="특약 없음","특약 없음","가입"))</x:f>
        <x:v>선택 안함</x:v>
      </x:c>
      <x:c r="Q188" s="2" t="str">
        <x:f>IF(P188="가입","가입","미가입")</x:f>
        <x:v>미가입</x:v>
      </x:c>
    </x:row>
    <x:row r="189" ht="23" customHeight="1">
      <x:c r="A189" s="2" t="str">
        <x:v>C0111</x:v>
      </x:c>
      <x:c r="B189" s="7" t="n">
        <x:v>28</x:v>
      </x:c>
      <x:c r="C189" s="2" t="str">
        <x:f>INT(B189/10)*10&amp;"대"</x:f>
        <x:v>20대</x:v>
      </x:c>
      <x:c r="D189" s="2" t="str">
        <x:v>여성</x:v>
      </x:c>
      <x:c r="E189" s="7" t="n">
        <x:v>5000</x:v>
      </x:c>
      <x:c r="F189" s="7" t="n">
        <x:v>1</x:v>
      </x:c>
      <x:c r="G189" s="2" t="str">
        <x:v>미혼</x:v>
      </x:c>
      <x:c r="H189" s="7" t="n">
        <x:v>0</x:v>
      </x:c>
      <x:c r="I189" s="2" t="str">
        <x:f>IF(H189&lt;3,H189&amp;"명","3명 이상")</x:f>
        <x:v>0명</x:v>
      </x:c>
      <x:c r="J189" s="2" t="str">
        <x:v>비흡연</x:v>
      </x:c>
      <x:c r="K189" s="2" t="str">
        <x:v>없음</x:v>
      </x:c>
      <x:c r="L189" s="2" t="str">
        <x:v>없음</x:v>
      </x:c>
      <x:c r="M189" s="2" t="str">
        <x:v>수호천사 행복 연금보험</x:v>
      </x:c>
      <x:c r="N189" s="2" t="str">
        <x:f>VLOOKUP(M189,'분류기준'!$A$5:$B$8,2,FALSE)</x:f>
        <x:v>연금보험</x:v>
      </x:c>
      <x:c r="O189" s="2" t="str">
        <x:v>특약 없음</x:v>
      </x:c>
      <x:c r="P189" s="2" t="str">
        <x:f>IF(O189="선택 안함","선택 안함",IF(O189="특약 없음","특약 없음","가입"))</x:f>
        <x:v>특약 없음</x:v>
      </x:c>
      <x:c r="Q189" s="2" t="str">
        <x:f>IF(P189="가입","가입","미가입")</x:f>
        <x:v>미가입</x:v>
      </x:c>
    </x:row>
    <x:row r="190" ht="23" customHeight="1">
      <x:c r="A190" s="2" t="str">
        <x:v>C0136</x:v>
      </x:c>
      <x:c r="B190" s="7" t="n">
        <x:v>28</x:v>
      </x:c>
      <x:c r="C190" s="2" t="str">
        <x:f>INT(B190/10)*10&amp;"대"</x:f>
        <x:v>20대</x:v>
      </x:c>
      <x:c r="D190" s="2" t="str">
        <x:v>여성</x:v>
      </x:c>
      <x:c r="E190" s="7" t="n">
        <x:v>6000</x:v>
      </x:c>
      <x:c r="F190" s="7" t="n">
        <x:v>3</x:v>
      </x:c>
      <x:c r="G190" s="2" t="str">
        <x:v>미혼</x:v>
      </x:c>
      <x:c r="H190" s="7" t="n">
        <x:v>0</x:v>
      </x:c>
      <x:c r="I190" s="2" t="str">
        <x:f>IF(H190&lt;3,H190&amp;"명","3명 이상")</x:f>
        <x:v>0명</x:v>
      </x:c>
      <x:c r="J190" s="2" t="str">
        <x:v>흡연</x:v>
      </x:c>
      <x:c r="K190" s="2" t="str">
        <x:v>없음</x:v>
      </x:c>
      <x:c r="L190" s="2" t="str">
        <x:v>없음</x:v>
      </x:c>
      <x:c r="M190" s="2" t="str">
        <x:v>수호천사 행복 연금보험</x:v>
      </x:c>
      <x:c r="N190" s="2" t="str">
        <x:f>VLOOKUP(M190,'분류기준'!$A$5:$B$8,2,FALSE)</x:f>
        <x:v>연금보험</x:v>
      </x:c>
      <x:c r="O190" s="2" t="str">
        <x:v>특약 없음</x:v>
      </x:c>
      <x:c r="P190" s="2" t="str">
        <x:f>IF(O190="선택 안함","선택 안함",IF(O190="특약 없음","특약 없음","가입"))</x:f>
        <x:v>특약 없음</x:v>
      </x:c>
      <x:c r="Q190" s="2" t="str">
        <x:f>IF(P190="가입","가입","미가입")</x:f>
        <x:v>미가입</x:v>
      </x:c>
    </x:row>
    <x:row r="191" ht="23" customHeight="1">
      <x:c r="A191" s="2" t="str">
        <x:v>C0184</x:v>
      </x:c>
      <x:c r="B191" s="7" t="n">
        <x:v>28</x:v>
      </x:c>
      <x:c r="C191" s="2" t="str">
        <x:f>INT(B191/10)*10&amp;"대"</x:f>
        <x:v>20대</x:v>
      </x:c>
      <x:c r="D191" s="2" t="str">
        <x:v>여성</x:v>
      </x:c>
      <x:c r="E191" s="7" t="n">
        <x:v>6000</x:v>
      </x:c>
      <x:c r="F191" s="7" t="n">
        <x:v>1</x:v>
      </x:c>
      <x:c r="G191" s="2" t="str">
        <x:v>미혼</x:v>
      </x:c>
      <x:c r="H191" s="7" t="n">
        <x:v>0</x:v>
      </x:c>
      <x:c r="I191" s="2" t="str">
        <x:f>IF(H191&lt;3,H191&amp;"명","3명 이상")</x:f>
        <x:v>0명</x:v>
      </x:c>
      <x:c r="J191" s="2" t="str">
        <x:v>비흡연</x:v>
      </x:c>
      <x:c r="K191" s="2" t="str">
        <x:v>없음</x:v>
      </x:c>
      <x:c r="L191" s="2" t="str">
        <x:v>암</x:v>
      </x:c>
      <x:c r="M191" s="2" t="str">
        <x:v>수호천사 암/건강보험</x:v>
      </x:c>
      <x:c r="N191" s="2" t="str">
        <x:f>VLOOKUP(M191,'분류기준'!$A$5:$B$8,2,FALSE)</x:f>
        <x:v>암/건강보험</x:v>
      </x:c>
      <x:c r="O191" s="2" t="str">
        <x:v>표적항암약물허가치료 특약</x:v>
      </x:c>
      <x:c r="P191" s="2" t="str">
        <x:f>IF(O191="선택 안함","선택 안함",IF(O191="특약 없음","특약 없음","가입"))</x:f>
        <x:v>가입</x:v>
      </x:c>
      <x:c r="Q191" s="2" t="str">
        <x:f>IF(P191="가입","가입","미가입")</x:f>
        <x:v>가입</x:v>
      </x:c>
    </x:row>
    <x:row r="192" ht="23" customHeight="1">
      <x:c r="A192" s="2" t="str">
        <x:v>C0228</x:v>
      </x:c>
      <x:c r="B192" s="7" t="n">
        <x:v>28</x:v>
      </x:c>
      <x:c r="C192" s="2" t="str">
        <x:f>INT(B192/10)*10&amp;"대"</x:f>
        <x:v>20대</x:v>
      </x:c>
      <x:c r="D192" s="2" t="str">
        <x:v>여성</x:v>
      </x:c>
      <x:c r="E192" s="7" t="n">
        <x:v>4000</x:v>
      </x:c>
      <x:c r="F192" s="7" t="n">
        <x:v>1</x:v>
      </x:c>
      <x:c r="G192" s="2" t="str">
        <x:v>미혼</x:v>
      </x:c>
      <x:c r="H192" s="7" t="n">
        <x:v>0</x:v>
      </x:c>
      <x:c r="I192" s="2" t="str">
        <x:f>IF(H192&lt;3,H192&amp;"명","3명 이상")</x:f>
        <x:v>0명</x:v>
      </x:c>
      <x:c r="J192" s="2" t="str">
        <x:v>비흡연</x:v>
      </x:c>
      <x:c r="K192" s="2" t="str">
        <x:v>없음</x:v>
      </x:c>
      <x:c r="L192" s="2" t="str">
        <x:v>암</x:v>
      </x:c>
      <x:c r="M192" s="2" t="str">
        <x:v>수호천사 암/건강보험</x:v>
      </x:c>
      <x:c r="N192" s="2" t="str">
        <x:f>VLOOKUP(M192,'분류기준'!$A$5:$B$8,2,FALSE)</x:f>
        <x:v>암/건강보험</x:v>
      </x:c>
      <x:c r="O192" s="2" t="str">
        <x:v>표적항암약물허가치료 특약</x:v>
      </x:c>
      <x:c r="P192" s="2" t="str">
        <x:f>IF(O192="선택 안함","선택 안함",IF(O192="특약 없음","특약 없음","가입"))</x:f>
        <x:v>가입</x:v>
      </x:c>
      <x:c r="Q192" s="2" t="str">
        <x:f>IF(P192="가입","가입","미가입")</x:f>
        <x:v>가입</x:v>
      </x:c>
    </x:row>
    <x:row r="193" ht="23" customHeight="1">
      <x:c r="A193" s="2" t="str">
        <x:v>C0266</x:v>
      </x:c>
      <x:c r="B193" s="7" t="n">
        <x:v>28</x:v>
      </x:c>
      <x:c r="C193" s="2" t="str">
        <x:f>INT(B193/10)*10&amp;"대"</x:f>
        <x:v>20대</x:v>
      </x:c>
      <x:c r="D193" s="2" t="str">
        <x:v>남성</x:v>
      </x:c>
      <x:c r="E193" s="7" t="n">
        <x:v>6000</x:v>
      </x:c>
      <x:c r="F193" s="7" t="n">
        <x:v>1</x:v>
      </x:c>
      <x:c r="G193" s="2" t="str">
        <x:v>미혼</x:v>
      </x:c>
      <x:c r="H193" s="7" t="n">
        <x:v>0</x:v>
      </x:c>
      <x:c r="I193" s="2" t="str">
        <x:f>IF(H193&lt;3,H193&amp;"명","3명 이상")</x:f>
        <x:v>0명</x:v>
      </x:c>
      <x:c r="J193" s="2" t="str">
        <x:v>흡연</x:v>
      </x:c>
      <x:c r="K193" s="2" t="str">
        <x:v>없음</x:v>
      </x:c>
      <x:c r="L193" s="2" t="str">
        <x:v>없음</x:v>
      </x:c>
      <x:c r="M193" s="2" t="str">
        <x:v>수호천사 암/건강보험</x:v>
      </x:c>
      <x:c r="N193" s="2" t="str">
        <x:f>VLOOKUP(M193,'분류기준'!$A$5:$B$8,2,FALSE)</x:f>
        <x:v>암/건강보험</x:v>
      </x:c>
      <x:c r="O193" s="2" t="str">
        <x:v>수술비 보장 특약</x:v>
      </x:c>
      <x:c r="P193" s="2" t="str">
        <x:f>IF(O193="선택 안함","선택 안함",IF(O193="특약 없음","특약 없음","가입"))</x:f>
        <x:v>가입</x:v>
      </x:c>
      <x:c r="Q193" s="2" t="str">
        <x:f>IF(P193="가입","가입","미가입")</x:f>
        <x:v>가입</x:v>
      </x:c>
    </x:row>
    <x:row r="194" ht="23" customHeight="1">
      <x:c r="A194" s="2" t="str">
        <x:v>C0367</x:v>
      </x:c>
      <x:c r="B194" s="7" t="n">
        <x:v>28</x:v>
      </x:c>
      <x:c r="C194" s="2" t="str">
        <x:f>INT(B194/10)*10&amp;"대"</x:f>
        <x:v>20대</x:v>
      </x:c>
      <x:c r="D194" s="2" t="str">
        <x:v>남성</x:v>
      </x:c>
      <x:c r="E194" s="7" t="n">
        <x:v>3000</x:v>
      </x:c>
      <x:c r="F194" s="7" t="n">
        <x:v>1</x:v>
      </x:c>
      <x:c r="G194" s="2" t="str">
        <x:v>미혼</x:v>
      </x:c>
      <x:c r="H194" s="7" t="n">
        <x:v>0</x:v>
      </x:c>
      <x:c r="I194" s="2" t="str">
        <x:f>IF(H194&lt;3,H194&amp;"명","3명 이상")</x:f>
        <x:v>0명</x:v>
      </x:c>
      <x:c r="J194" s="2" t="str">
        <x:v>비흡연</x:v>
      </x:c>
      <x:c r="K194" s="2" t="str">
        <x:v>없음</x:v>
      </x:c>
      <x:c r="L194" s="2" t="str">
        <x:v>없음</x:v>
      </x:c>
      <x:c r="M194" s="2" t="str">
        <x:v>수호천사 간편심사(유병자)보험</x:v>
      </x:c>
      <x:c r="N194" s="2" t="str">
        <x:f>VLOOKUP(M194,'분류기준'!$A$5:$B$8,2,FALSE)</x:f>
        <x:v>간편심사보험</x:v>
      </x:c>
      <x:c r="O194" s="2" t="str">
        <x:v>선택 안함</x:v>
      </x:c>
      <x:c r="P194" s="2" t="str">
        <x:f>IF(O194="선택 안함","선택 안함",IF(O194="특약 없음","특약 없음","가입"))</x:f>
        <x:v>선택 안함</x:v>
      </x:c>
      <x:c r="Q194" s="2" t="str">
        <x:f>IF(P194="가입","가입","미가입")</x:f>
        <x:v>미가입</x:v>
      </x:c>
    </x:row>
    <x:row r="195" ht="23" customHeight="1">
      <x:c r="A195" s="2" t="str">
        <x:v>C0428</x:v>
      </x:c>
      <x:c r="B195" s="7" t="n">
        <x:v>28</x:v>
      </x:c>
      <x:c r="C195" s="2" t="str">
        <x:f>INT(B195/10)*10&amp;"대"</x:f>
        <x:v>20대</x:v>
      </x:c>
      <x:c r="D195" s="2" t="str">
        <x:v>남성</x:v>
      </x:c>
      <x:c r="E195" s="7" t="n">
        <x:v>5000</x:v>
      </x:c>
      <x:c r="F195" s="7" t="n">
        <x:v>2</x:v>
      </x:c>
      <x:c r="G195" s="2" t="str">
        <x:v>미혼</x:v>
      </x:c>
      <x:c r="H195" s="7" t="n">
        <x:v>0</x:v>
      </x:c>
      <x:c r="I195" s="2" t="str">
        <x:f>IF(H195&lt;3,H195&amp;"명","3명 이상")</x:f>
        <x:v>0명</x:v>
      </x:c>
      <x:c r="J195" s="2" t="str">
        <x:v>비흡연</x:v>
      </x:c>
      <x:c r="K195" s="2" t="str">
        <x:v>없음</x:v>
      </x:c>
      <x:c r="L195" s="2" t="str">
        <x:v>암</x:v>
      </x:c>
      <x:c r="M195" s="2" t="str">
        <x:v>수호천사 암/건강보험</x:v>
      </x:c>
      <x:c r="N195" s="2" t="str">
        <x:f>VLOOKUP(M195,'분류기준'!$A$5:$B$8,2,FALSE)</x:f>
        <x:v>암/건강보험</x:v>
      </x:c>
      <x:c r="O195" s="2" t="str">
        <x:v>수술비 보장 특약</x:v>
      </x:c>
      <x:c r="P195" s="2" t="str">
        <x:f>IF(O195="선택 안함","선택 안함",IF(O195="특약 없음","특약 없음","가입"))</x:f>
        <x:v>가입</x:v>
      </x:c>
      <x:c r="Q195" s="2" t="str">
        <x:f>IF(P195="가입","가입","미가입")</x:f>
        <x:v>가입</x:v>
      </x:c>
    </x:row>
    <x:row r="196" ht="23" customHeight="1">
      <x:c r="A196" s="2" t="str">
        <x:v>C0530</x:v>
      </x:c>
      <x:c r="B196" s="7" t="n">
        <x:v>28</x:v>
      </x:c>
      <x:c r="C196" s="2" t="str">
        <x:f>INT(B196/10)*10&amp;"대"</x:f>
        <x:v>20대</x:v>
      </x:c>
      <x:c r="D196" s="2" t="str">
        <x:v>여성</x:v>
      </x:c>
      <x:c r="E196" s="7" t="n">
        <x:v>7500</x:v>
      </x:c>
      <x:c r="F196" s="7" t="n">
        <x:v>1</x:v>
      </x:c>
      <x:c r="G196" s="2" t="str">
        <x:v>미혼</x:v>
      </x:c>
      <x:c r="H196" s="7" t="n">
        <x:v>0</x:v>
      </x:c>
      <x:c r="I196" s="2" t="str">
        <x:f>IF(H196&lt;3,H196&amp;"명","3명 이상")</x:f>
        <x:v>0명</x:v>
      </x:c>
      <x:c r="J196" s="2" t="str">
        <x:v>비흡연</x:v>
      </x:c>
      <x:c r="K196" s="2" t="str">
        <x:v>없음</x:v>
      </x:c>
      <x:c r="L196" s="2" t="str">
        <x:v>암</x:v>
      </x:c>
      <x:c r="M196" s="2" t="str">
        <x:v>수호천사 행복 연금보험</x:v>
      </x:c>
      <x:c r="N196" s="2" t="str">
        <x:f>VLOOKUP(M196,'분류기준'!$A$5:$B$8,2,FALSE)</x:f>
        <x:v>연금보험</x:v>
      </x:c>
      <x:c r="O196" s="2" t="str">
        <x:v>특약 없음</x:v>
      </x:c>
      <x:c r="P196" s="2" t="str">
        <x:f>IF(O196="선택 안함","선택 안함",IF(O196="특약 없음","특약 없음","가입"))</x:f>
        <x:v>특약 없음</x:v>
      </x:c>
      <x:c r="Q196" s="2" t="str">
        <x:f>IF(P196="가입","가입","미가입")</x:f>
        <x:v>미가입</x:v>
      </x:c>
    </x:row>
    <x:row r="197" ht="23" customHeight="1">
      <x:c r="A197" s="2" t="str">
        <x:v>C0560</x:v>
      </x:c>
      <x:c r="B197" s="7" t="n">
        <x:v>28</x:v>
      </x:c>
      <x:c r="C197" s="2" t="str">
        <x:f>INT(B197/10)*10&amp;"대"</x:f>
        <x:v>20대</x:v>
      </x:c>
      <x:c r="D197" s="2" t="str">
        <x:v>여성</x:v>
      </x:c>
      <x:c r="E197" s="7" t="n">
        <x:v>5000</x:v>
      </x:c>
      <x:c r="F197" s="7" t="n">
        <x:v>1</x:v>
      </x:c>
      <x:c r="G197" s="2" t="str">
        <x:v>미혼</x:v>
      </x:c>
      <x:c r="H197" s="7" t="n">
        <x:v>0</x:v>
      </x:c>
      <x:c r="I197" s="2" t="str">
        <x:f>IF(H197&lt;3,H197&amp;"명","3명 이상")</x:f>
        <x:v>0명</x:v>
      </x:c>
      <x:c r="J197" s="2" t="str">
        <x:v>비흡연</x:v>
      </x:c>
      <x:c r="K197" s="2" t="str">
        <x:v>고혈압</x:v>
      </x:c>
      <x:c r="L197" s="2" t="str">
        <x:v>심혈관</x:v>
      </x:c>
      <x:c r="M197" s="2" t="str">
        <x:v>수호천사 행복 연금보험</x:v>
      </x:c>
      <x:c r="N197" s="2" t="str">
        <x:f>VLOOKUP(M197,'분류기준'!$A$5:$B$8,2,FALSE)</x:f>
        <x:v>연금보험</x:v>
      </x:c>
      <x:c r="O197" s="2" t="str">
        <x:v>특약 없음</x:v>
      </x:c>
      <x:c r="P197" s="2" t="str">
        <x:f>IF(O197="선택 안함","선택 안함",IF(O197="특약 없음","특약 없음","가입"))</x:f>
        <x:v>특약 없음</x:v>
      </x:c>
      <x:c r="Q197" s="2" t="str">
        <x:f>IF(P197="가입","가입","미가입")</x:f>
        <x:v>미가입</x:v>
      </x:c>
    </x:row>
    <x:row r="198" ht="23" customHeight="1">
      <x:c r="A198" s="2" t="str">
        <x:v>C0589</x:v>
      </x:c>
      <x:c r="B198" s="7" t="n">
        <x:v>28</x:v>
      </x:c>
      <x:c r="C198" s="2" t="str">
        <x:f>INT(B198/10)*10&amp;"대"</x:f>
        <x:v>20대</x:v>
      </x:c>
      <x:c r="D198" s="2" t="str">
        <x:v>여성</x:v>
      </x:c>
      <x:c r="E198" s="7" t="n">
        <x:v>3000</x:v>
      </x:c>
      <x:c r="F198" s="7" t="n">
        <x:v>1</x:v>
      </x:c>
      <x:c r="G198" s="2" t="str">
        <x:v>미혼</x:v>
      </x:c>
      <x:c r="H198" s="7" t="n">
        <x:v>0</x:v>
      </x:c>
      <x:c r="I198" s="2" t="str">
        <x:f>IF(H198&lt;3,H198&amp;"명","3명 이상")</x:f>
        <x:v>0명</x:v>
      </x:c>
      <x:c r="J198" s="2" t="str">
        <x:v>흡연</x:v>
      </x:c>
      <x:c r="K198" s="2" t="str">
        <x:v>고혈압</x:v>
      </x:c>
      <x:c r="L198" s="2" t="str">
        <x:v>없음</x:v>
      </x:c>
      <x:c r="M198" s="2" t="str">
        <x:v>수호천사 암/건강보험</x:v>
      </x:c>
      <x:c r="N198" s="2" t="str">
        <x:f>VLOOKUP(M198,'분류기준'!$A$5:$B$8,2,FALSE)</x:f>
        <x:v>암/건강보험</x:v>
      </x:c>
      <x:c r="O198" s="2" t="str">
        <x:v>수술비 보장 특약</x:v>
      </x:c>
      <x:c r="P198" s="2" t="str">
        <x:f>IF(O198="선택 안함","선택 안함",IF(O198="특약 없음","특약 없음","가입"))</x:f>
        <x:v>가입</x:v>
      </x:c>
      <x:c r="Q198" s="2" t="str">
        <x:f>IF(P198="가입","가입","미가입")</x:f>
        <x:v>가입</x:v>
      </x:c>
    </x:row>
    <x:row r="199" ht="23" customHeight="1">
      <x:c r="A199" s="2" t="str">
        <x:v>C0599</x:v>
      </x:c>
      <x:c r="B199" s="7" t="n">
        <x:v>28</x:v>
      </x:c>
      <x:c r="C199" s="2" t="str">
        <x:f>INT(B199/10)*10&amp;"대"</x:f>
        <x:v>20대</x:v>
      </x:c>
      <x:c r="D199" s="2" t="str">
        <x:v>남성</x:v>
      </x:c>
      <x:c r="E199" s="7" t="n">
        <x:v>4000</x:v>
      </x:c>
      <x:c r="F199" s="7" t="n">
        <x:v>1</x:v>
      </x:c>
      <x:c r="G199" s="2" t="str">
        <x:v>미혼</x:v>
      </x:c>
      <x:c r="H199" s="7" t="n">
        <x:v>0</x:v>
      </x:c>
      <x:c r="I199" s="2" t="str">
        <x:f>IF(H199&lt;3,H199&amp;"명","3명 이상")</x:f>
        <x:v>0명</x:v>
      </x:c>
      <x:c r="J199" s="2" t="str">
        <x:v>비흡연</x:v>
      </x:c>
      <x:c r="K199" s="2" t="str">
        <x:v>없음</x:v>
      </x:c>
      <x:c r="L199" s="2" t="str">
        <x:v>없음</x:v>
      </x:c>
      <x:c r="M199" s="2" t="str">
        <x:v>수호천사 우리가족 종신보험</x:v>
      </x:c>
      <x:c r="N199" s="2" t="str">
        <x:f>VLOOKUP(M199,'분류기준'!$A$5:$B$8,2,FALSE)</x:f>
        <x:v>종신보험</x:v>
      </x:c>
      <x:c r="O199" s="2" t="str">
        <x:v>선택 안함</x:v>
      </x:c>
      <x:c r="P199" s="2" t="str">
        <x:f>IF(O199="선택 안함","선택 안함",IF(O199="특약 없음","특약 없음","가입"))</x:f>
        <x:v>선택 안함</x:v>
      </x:c>
      <x:c r="Q199" s="2" t="str">
        <x:f>IF(P199="가입","가입","미가입")</x:f>
        <x:v>미가입</x:v>
      </x:c>
    </x:row>
    <x:row r="200" ht="23" customHeight="1">
      <x:c r="A200" s="2" t="str">
        <x:v>C0688</x:v>
      </x:c>
      <x:c r="B200" s="7" t="n">
        <x:v>28</x:v>
      </x:c>
      <x:c r="C200" s="2" t="str">
        <x:f>INT(B200/10)*10&amp;"대"</x:f>
        <x:v>20대</x:v>
      </x:c>
      <x:c r="D200" s="2" t="str">
        <x:v>여성</x:v>
      </x:c>
      <x:c r="E200" s="7" t="n">
        <x:v>3000</x:v>
      </x:c>
      <x:c r="F200" s="7" t="n">
        <x:v>1</x:v>
      </x:c>
      <x:c r="G200" s="2" t="str">
        <x:v>미혼</x:v>
      </x:c>
      <x:c r="H200" s="7" t="n">
        <x:v>0</x:v>
      </x:c>
      <x:c r="I200" s="2" t="str">
        <x:f>IF(H200&lt;3,H200&amp;"명","3명 이상")</x:f>
        <x:v>0명</x:v>
      </x:c>
      <x:c r="J200" s="2" t="str">
        <x:v>비흡연</x:v>
      </x:c>
      <x:c r="K200" s="2" t="str">
        <x:v>없음</x:v>
      </x:c>
      <x:c r="L200" s="2" t="str">
        <x:v>없음</x:v>
      </x:c>
      <x:c r="M200" s="2" t="str">
        <x:v>수호천사 행복 연금보험</x:v>
      </x:c>
      <x:c r="N200" s="2" t="str">
        <x:f>VLOOKUP(M200,'분류기준'!$A$5:$B$8,2,FALSE)</x:f>
        <x:v>연금보험</x:v>
      </x:c>
      <x:c r="O200" s="2" t="str">
        <x:v>특약 없음</x:v>
      </x:c>
      <x:c r="P200" s="2" t="str">
        <x:f>IF(O200="선택 안함","선택 안함",IF(O200="특약 없음","특약 없음","가입"))</x:f>
        <x:v>특약 없음</x:v>
      </x:c>
      <x:c r="Q200" s="2" t="str">
        <x:f>IF(P200="가입","가입","미가입")</x:f>
        <x:v>미가입</x:v>
      </x:c>
    </x:row>
    <x:row r="201" ht="23" customHeight="1">
      <x:c r="A201" s="2" t="str">
        <x:v>C0740</x:v>
      </x:c>
      <x:c r="B201" s="7" t="n">
        <x:v>28</x:v>
      </x:c>
      <x:c r="C201" s="2" t="str">
        <x:f>INT(B201/10)*10&amp;"대"</x:f>
        <x:v>20대</x:v>
      </x:c>
      <x:c r="D201" s="2" t="str">
        <x:v>남성</x:v>
      </x:c>
      <x:c r="E201" s="7" t="n">
        <x:v>4000</x:v>
      </x:c>
      <x:c r="F201" s="7" t="n">
        <x:v>2</x:v>
      </x:c>
      <x:c r="G201" s="2" t="str">
        <x:v>미혼</x:v>
      </x:c>
      <x:c r="H201" s="7" t="n">
        <x:v>0</x:v>
      </x:c>
      <x:c r="I201" s="2" t="str">
        <x:f>IF(H201&lt;3,H201&amp;"명","3명 이상")</x:f>
        <x:v>0명</x:v>
      </x:c>
      <x:c r="J201" s="2" t="str">
        <x:v>비흡연</x:v>
      </x:c>
      <x:c r="K201" s="2" t="str">
        <x:v>없음</x:v>
      </x:c>
      <x:c r="L201" s="2" t="str">
        <x:v>암</x:v>
      </x:c>
      <x:c r="M201" s="2" t="str">
        <x:v>수호천사 암/건강보험</x:v>
      </x:c>
      <x:c r="N201" s="2" t="str">
        <x:f>VLOOKUP(M201,'분류기준'!$A$5:$B$8,2,FALSE)</x:f>
        <x:v>암/건강보험</x:v>
      </x:c>
      <x:c r="O201" s="2" t="str">
        <x:v>수술비 보장 특약</x:v>
      </x:c>
      <x:c r="P201" s="2" t="str">
        <x:f>IF(O201="선택 안함","선택 안함",IF(O201="특약 없음","특약 없음","가입"))</x:f>
        <x:v>가입</x:v>
      </x:c>
      <x:c r="Q201" s="2" t="str">
        <x:f>IF(P201="가입","가입","미가입")</x:f>
        <x:v>가입</x:v>
      </x:c>
    </x:row>
    <x:row r="202" ht="23" customHeight="1">
      <x:c r="A202" s="2" t="str">
        <x:v>C0841</x:v>
      </x:c>
      <x:c r="B202" s="7" t="n">
        <x:v>28</x:v>
      </x:c>
      <x:c r="C202" s="2" t="str">
        <x:f>INT(B202/10)*10&amp;"대"</x:f>
        <x:v>20대</x:v>
      </x:c>
      <x:c r="D202" s="2" t="str">
        <x:v>여성</x:v>
      </x:c>
      <x:c r="E202" s="7" t="n">
        <x:v>6000</x:v>
      </x:c>
      <x:c r="F202" s="7" t="n">
        <x:v>1</x:v>
      </x:c>
      <x:c r="G202" s="2" t="str">
        <x:v>미혼</x:v>
      </x:c>
      <x:c r="H202" s="7" t="n">
        <x:v>0</x:v>
      </x:c>
      <x:c r="I202" s="2" t="str">
        <x:f>IF(H202&lt;3,H202&amp;"명","3명 이상")</x:f>
        <x:v>0명</x:v>
      </x:c>
      <x:c r="J202" s="2" t="str">
        <x:v>흡연</x:v>
      </x:c>
      <x:c r="K202" s="2" t="str">
        <x:v>당뇨</x:v>
      </x:c>
      <x:c r="L202" s="2" t="str">
        <x:v>없음</x:v>
      </x:c>
      <x:c r="M202" s="2" t="str">
        <x:v>수호천사 행복 연금보험</x:v>
      </x:c>
      <x:c r="N202" s="2" t="str">
        <x:f>VLOOKUP(M202,'분류기준'!$A$5:$B$8,2,FALSE)</x:f>
        <x:v>연금보험</x:v>
      </x:c>
      <x:c r="O202" s="2" t="str">
        <x:v>특약 없음</x:v>
      </x:c>
      <x:c r="P202" s="2" t="str">
        <x:f>IF(O202="선택 안함","선택 안함",IF(O202="특약 없음","특약 없음","가입"))</x:f>
        <x:v>특약 없음</x:v>
      </x:c>
      <x:c r="Q202" s="2" t="str">
        <x:f>IF(P202="가입","가입","미가입")</x:f>
        <x:v>미가입</x:v>
      </x:c>
    </x:row>
    <x:row r="203" ht="23" customHeight="1">
      <x:c r="A203" s="2" t="str">
        <x:v>C0922</x:v>
      </x:c>
      <x:c r="B203" s="7" t="n">
        <x:v>28</x:v>
      </x:c>
      <x:c r="C203" s="2" t="str">
        <x:f>INT(B203/10)*10&amp;"대"</x:f>
        <x:v>20대</x:v>
      </x:c>
      <x:c r="D203" s="2" t="str">
        <x:v>여성</x:v>
      </x:c>
      <x:c r="E203" s="7" t="n">
        <x:v>3000</x:v>
      </x:c>
      <x:c r="F203" s="7" t="n">
        <x:v>2</x:v>
      </x:c>
      <x:c r="G203" s="2" t="str">
        <x:v>미혼</x:v>
      </x:c>
      <x:c r="H203" s="7" t="n">
        <x:v>0</x:v>
      </x:c>
      <x:c r="I203" s="2" t="str">
        <x:f>IF(H203&lt;3,H203&amp;"명","3명 이상")</x:f>
        <x:v>0명</x:v>
      </x:c>
      <x:c r="J203" s="2" t="str">
        <x:v>비흡연</x:v>
      </x:c>
      <x:c r="K203" s="2" t="str">
        <x:v>없음</x:v>
      </x:c>
      <x:c r="L203" s="2" t="str">
        <x:v>없음</x:v>
      </x:c>
      <x:c r="M203" s="2" t="str">
        <x:v>수호천사 행복 연금보험</x:v>
      </x:c>
      <x:c r="N203" s="2" t="str">
        <x:f>VLOOKUP(M203,'분류기준'!$A$5:$B$8,2,FALSE)</x:f>
        <x:v>연금보험</x:v>
      </x:c>
      <x:c r="O203" s="2" t="str">
        <x:v>특약 없음</x:v>
      </x:c>
      <x:c r="P203" s="2" t="str">
        <x:f>IF(O203="선택 안함","선택 안함",IF(O203="특약 없음","특약 없음","가입"))</x:f>
        <x:v>특약 없음</x:v>
      </x:c>
      <x:c r="Q203" s="2" t="str">
        <x:f>IF(P203="가입","가입","미가입")</x:f>
        <x:v>미가입</x:v>
      </x:c>
    </x:row>
    <x:row r="204" ht="23" customHeight="1">
      <x:c r="A204" s="2" t="str">
        <x:v>C0980</x:v>
      </x:c>
      <x:c r="B204" s="7" t="n">
        <x:v>28</x:v>
      </x:c>
      <x:c r="C204" s="2" t="str">
        <x:f>INT(B204/10)*10&amp;"대"</x:f>
        <x:v>20대</x:v>
      </x:c>
      <x:c r="D204" s="2" t="str">
        <x:v>여성</x:v>
      </x:c>
      <x:c r="E204" s="7" t="n">
        <x:v>5000</x:v>
      </x:c>
      <x:c r="F204" s="7" t="n">
        <x:v>1</x:v>
      </x:c>
      <x:c r="G204" s="2" t="str">
        <x:v>기혼</x:v>
      </x:c>
      <x:c r="H204" s="7" t="n">
        <x:v>0</x:v>
      </x:c>
      <x:c r="I204" s="2" t="str">
        <x:f>IF(H204&lt;3,H204&amp;"명","3명 이상")</x:f>
        <x:v>0명</x:v>
      </x:c>
      <x:c r="J204" s="2" t="str">
        <x:v>흡연</x:v>
      </x:c>
      <x:c r="K204" s="2" t="str">
        <x:v>없음</x:v>
      </x:c>
      <x:c r="L204" s="2" t="str">
        <x:v>없음</x:v>
      </x:c>
      <x:c r="M204" s="2" t="str">
        <x:v>수호천사 암/건강보험</x:v>
      </x:c>
      <x:c r="N204" s="2" t="str">
        <x:f>VLOOKUP(M204,'분류기준'!$A$5:$B$8,2,FALSE)</x:f>
        <x:v>암/건강보험</x:v>
      </x:c>
      <x:c r="O204" s="2" t="str">
        <x:v>표적항암약물허가치료 특약</x:v>
      </x:c>
      <x:c r="P204" s="2" t="str">
        <x:f>IF(O204="선택 안함","선택 안함",IF(O204="특약 없음","특약 없음","가입"))</x:f>
        <x:v>가입</x:v>
      </x:c>
      <x:c r="Q204" s="2" t="str">
        <x:f>IF(P204="가입","가입","미가입")</x:f>
        <x:v>가입</x:v>
      </x:c>
    </x:row>
    <x:row r="205" ht="23" customHeight="1">
      <x:c r="A205" s="2" t="str">
        <x:v>C0982</x:v>
      </x:c>
      <x:c r="B205" s="7" t="n">
        <x:v>28</x:v>
      </x:c>
      <x:c r="C205" s="2" t="str">
        <x:f>INT(B205/10)*10&amp;"대"</x:f>
        <x:v>20대</x:v>
      </x:c>
      <x:c r="D205" s="2" t="str">
        <x:v>남성</x:v>
      </x:c>
      <x:c r="E205" s="7" t="n">
        <x:v>4000</x:v>
      </x:c>
      <x:c r="F205" s="7" t="n">
        <x:v>1</x:v>
      </x:c>
      <x:c r="G205" s="2" t="str">
        <x:v>미혼</x:v>
      </x:c>
      <x:c r="H205" s="7" t="n">
        <x:v>0</x:v>
      </x:c>
      <x:c r="I205" s="2" t="str">
        <x:f>IF(H205&lt;3,H205&amp;"명","3명 이상")</x:f>
        <x:v>0명</x:v>
      </x:c>
      <x:c r="J205" s="2" t="str">
        <x:v>비흡연</x:v>
      </x:c>
      <x:c r="K205" s="2" t="str">
        <x:v>없음</x:v>
      </x:c>
      <x:c r="L205" s="2" t="str">
        <x:v>없음</x:v>
      </x:c>
      <x:c r="M205" s="2" t="str">
        <x:v>수호천사 행복 연금보험</x:v>
      </x:c>
      <x:c r="N205" s="2" t="str">
        <x:f>VLOOKUP(M205,'분류기준'!$A$5:$B$8,2,FALSE)</x:f>
        <x:v>연금보험</x:v>
      </x:c>
      <x:c r="O205" s="2" t="str">
        <x:v>특약 없음</x:v>
      </x:c>
      <x:c r="P205" s="2" t="str">
        <x:f>IF(O205="선택 안함","선택 안함",IF(O205="특약 없음","특약 없음","가입"))</x:f>
        <x:v>특약 없음</x:v>
      </x:c>
      <x:c r="Q205" s="2" t="str">
        <x:f>IF(P205="가입","가입","미가입")</x:f>
        <x:v>미가입</x:v>
      </x:c>
    </x:row>
    <x:row r="206" ht="23" customHeight="1">
      <x:c r="A206" s="2" t="str">
        <x:v>C0994</x:v>
      </x:c>
      <x:c r="B206" s="7" t="n">
        <x:v>28</x:v>
      </x:c>
      <x:c r="C206" s="2" t="str">
        <x:f>INT(B206/10)*10&amp;"대"</x:f>
        <x:v>20대</x:v>
      </x:c>
      <x:c r="D206" s="2" t="str">
        <x:v>여성</x:v>
      </x:c>
      <x:c r="E206" s="7" t="n">
        <x:v>5000</x:v>
      </x:c>
      <x:c r="F206" s="7" t="n">
        <x:v>1</x:v>
      </x:c>
      <x:c r="G206" s="2" t="str">
        <x:v>미혼</x:v>
      </x:c>
      <x:c r="H206" s="7" t="n">
        <x:v>0</x:v>
      </x:c>
      <x:c r="I206" s="2" t="str">
        <x:f>IF(H206&lt;3,H206&amp;"명","3명 이상")</x:f>
        <x:v>0명</x:v>
      </x:c>
      <x:c r="J206" s="2" t="str">
        <x:v>비흡연</x:v>
      </x:c>
      <x:c r="K206" s="2" t="str">
        <x:v>없음</x:v>
      </x:c>
      <x:c r="L206" s="2" t="str">
        <x:v>암</x:v>
      </x:c>
      <x:c r="M206" s="2" t="str">
        <x:v>수호천사 암/건강보험</x:v>
      </x:c>
      <x:c r="N206" s="2" t="str">
        <x:f>VLOOKUP(M206,'분류기준'!$A$5:$B$8,2,FALSE)</x:f>
        <x:v>암/건강보험</x:v>
      </x:c>
      <x:c r="O206" s="2" t="str">
        <x:v>표적항암약물허가치료 특약</x:v>
      </x:c>
      <x:c r="P206" s="2" t="str">
        <x:f>IF(O206="선택 안함","선택 안함",IF(O206="특약 없음","특약 없음","가입"))</x:f>
        <x:v>가입</x:v>
      </x:c>
      <x:c r="Q206" s="2" t="str">
        <x:f>IF(P206="가입","가입","미가입")</x:f>
        <x:v>가입</x:v>
      </x:c>
    </x:row>
    <x:row r="207" ht="23" customHeight="1">
      <x:c r="A207" s="2" t="str">
        <x:v>C0069</x:v>
      </x:c>
      <x:c r="B207" s="7" t="n">
        <x:v>29</x:v>
      </x:c>
      <x:c r="C207" s="2" t="str">
        <x:f>INT(B207/10)*10&amp;"대"</x:f>
        <x:v>20대</x:v>
      </x:c>
      <x:c r="D207" s="2" t="str">
        <x:v>남성</x:v>
      </x:c>
      <x:c r="E207" s="7" t="n">
        <x:v>12000</x:v>
      </x:c>
      <x:c r="F207" s="7" t="n">
        <x:v>1</x:v>
      </x:c>
      <x:c r="G207" s="2" t="str">
        <x:v>미혼</x:v>
      </x:c>
      <x:c r="H207" s="7" t="n">
        <x:v>0</x:v>
      </x:c>
      <x:c r="I207" s="2" t="str">
        <x:f>IF(H207&lt;3,H207&amp;"명","3명 이상")</x:f>
        <x:v>0명</x:v>
      </x:c>
      <x:c r="J207" s="2" t="str">
        <x:v>비흡연</x:v>
      </x:c>
      <x:c r="K207" s="2" t="str">
        <x:v>없음</x:v>
      </x:c>
      <x:c r="L207" s="2" t="str">
        <x:v>암</x:v>
      </x:c>
      <x:c r="M207" s="2" t="str">
        <x:v>수호천사 행복 연금보험</x:v>
      </x:c>
      <x:c r="N207" s="2" t="str">
        <x:f>VLOOKUP(M207,'분류기준'!$A$5:$B$8,2,FALSE)</x:f>
        <x:v>연금보험</x:v>
      </x:c>
      <x:c r="O207" s="2" t="str">
        <x:v>특약 없음</x:v>
      </x:c>
      <x:c r="P207" s="2" t="str">
        <x:f>IF(O207="선택 안함","선택 안함",IF(O207="특약 없음","특약 없음","가입"))</x:f>
        <x:v>특약 없음</x:v>
      </x:c>
      <x:c r="Q207" s="2" t="str">
        <x:f>IF(P207="가입","가입","미가입")</x:f>
        <x:v>미가입</x:v>
      </x:c>
    </x:row>
    <x:row r="208" ht="23" customHeight="1">
      <x:c r="A208" s="2" t="str">
        <x:v>C0467</x:v>
      </x:c>
      <x:c r="B208" s="7" t="n">
        <x:v>29</x:v>
      </x:c>
      <x:c r="C208" s="2" t="str">
        <x:f>INT(B208/10)*10&amp;"대"</x:f>
        <x:v>20대</x:v>
      </x:c>
      <x:c r="D208" s="2" t="str">
        <x:v>여성</x:v>
      </x:c>
      <x:c r="E208" s="7" t="n">
        <x:v>7500</x:v>
      </x:c>
      <x:c r="F208" s="7" t="n">
        <x:v>2</x:v>
      </x:c>
      <x:c r="G208" s="2" t="str">
        <x:v>미혼</x:v>
      </x:c>
      <x:c r="H208" s="7" t="n">
        <x:v>0</x:v>
      </x:c>
      <x:c r="I208" s="2" t="str">
        <x:f>IF(H208&lt;3,H208&amp;"명","3명 이상")</x:f>
        <x:v>0명</x:v>
      </x:c>
      <x:c r="J208" s="2" t="str">
        <x:v>비흡연</x:v>
      </x:c>
      <x:c r="K208" s="2" t="str">
        <x:v>없음</x:v>
      </x:c>
      <x:c r="L208" s="2" t="str">
        <x:v>암</x:v>
      </x:c>
      <x:c r="M208" s="2" t="str">
        <x:v>수호천사 암/건강보험</x:v>
      </x:c>
      <x:c r="N208" s="2" t="str">
        <x:f>VLOOKUP(M208,'분류기준'!$A$5:$B$8,2,FALSE)</x:f>
        <x:v>암/건강보험</x:v>
      </x:c>
      <x:c r="O208" s="2" t="str">
        <x:v>표적항암약물허가치료 특약</x:v>
      </x:c>
      <x:c r="P208" s="2" t="str">
        <x:f>IF(O208="선택 안함","선택 안함",IF(O208="특약 없음","특약 없음","가입"))</x:f>
        <x:v>가입</x:v>
      </x:c>
      <x:c r="Q208" s="2" t="str">
        <x:f>IF(P208="가입","가입","미가입")</x:f>
        <x:v>가입</x:v>
      </x:c>
    </x:row>
    <x:row r="209" ht="23" customHeight="1">
      <x:c r="A209" s="2" t="str">
        <x:v>C0472</x:v>
      </x:c>
      <x:c r="B209" s="7" t="n">
        <x:v>29</x:v>
      </x:c>
      <x:c r="C209" s="2" t="str">
        <x:f>INT(B209/10)*10&amp;"대"</x:f>
        <x:v>20대</x:v>
      </x:c>
      <x:c r="D209" s="2" t="str">
        <x:v>여성</x:v>
      </x:c>
      <x:c r="E209" s="7" t="n">
        <x:v>4000</x:v>
      </x:c>
      <x:c r="F209" s="7" t="n">
        <x:v>1</x:v>
      </x:c>
      <x:c r="G209" s="2" t="str">
        <x:v>미혼</x:v>
      </x:c>
      <x:c r="H209" s="7" t="n">
        <x:v>0</x:v>
      </x:c>
      <x:c r="I209" s="2" t="str">
        <x:f>IF(H209&lt;3,H209&amp;"명","3명 이상")</x:f>
        <x:v>0명</x:v>
      </x:c>
      <x:c r="J209" s="2" t="str">
        <x:v>흡연</x:v>
      </x:c>
      <x:c r="K209" s="2" t="str">
        <x:v>없음</x:v>
      </x:c>
      <x:c r="L209" s="2" t="str">
        <x:v>심혈관</x:v>
      </x:c>
      <x:c r="M209" s="2" t="str">
        <x:v>수호천사 암/건강보험</x:v>
      </x:c>
      <x:c r="N209" s="2" t="str">
        <x:f>VLOOKUP(M209,'분류기준'!$A$5:$B$8,2,FALSE)</x:f>
        <x:v>암/건강보험</x:v>
      </x:c>
      <x:c r="O209" s="2" t="str">
        <x:v>표적항암약물허가치료 특약</x:v>
      </x:c>
      <x:c r="P209" s="2" t="str">
        <x:f>IF(O209="선택 안함","선택 안함",IF(O209="특약 없음","특약 없음","가입"))</x:f>
        <x:v>가입</x:v>
      </x:c>
      <x:c r="Q209" s="2" t="str">
        <x:f>IF(P209="가입","가입","미가입")</x:f>
        <x:v>가입</x:v>
      </x:c>
    </x:row>
    <x:row r="210" ht="23" customHeight="1">
      <x:c r="A210" s="2" t="str">
        <x:v>C0499</x:v>
      </x:c>
      <x:c r="B210" s="7" t="n">
        <x:v>29</x:v>
      </x:c>
      <x:c r="C210" s="2" t="str">
        <x:f>INT(B210/10)*10&amp;"대"</x:f>
        <x:v>20대</x:v>
      </x:c>
      <x:c r="D210" s="2" t="str">
        <x:v>남성</x:v>
      </x:c>
      <x:c r="E210" s="7" t="n">
        <x:v>3000</x:v>
      </x:c>
      <x:c r="F210" s="7" t="n">
        <x:v>1</x:v>
      </x:c>
      <x:c r="G210" s="2" t="str">
        <x:v>미혼</x:v>
      </x:c>
      <x:c r="H210" s="7" t="n">
        <x:v>0</x:v>
      </x:c>
      <x:c r="I210" s="2" t="str">
        <x:f>IF(H210&lt;3,H210&amp;"명","3명 이상")</x:f>
        <x:v>0명</x:v>
      </x:c>
      <x:c r="J210" s="2" t="str">
        <x:v>비흡연</x:v>
      </x:c>
      <x:c r="K210" s="2" t="str">
        <x:v>없음</x:v>
      </x:c>
      <x:c r="L210" s="2" t="str">
        <x:v>없음</x:v>
      </x:c>
      <x:c r="M210" s="2" t="str">
        <x:v>수호천사 행복 연금보험</x:v>
      </x:c>
      <x:c r="N210" s="2" t="str">
        <x:f>VLOOKUP(M210,'분류기준'!$A$5:$B$8,2,FALSE)</x:f>
        <x:v>연금보험</x:v>
      </x:c>
      <x:c r="O210" s="2" t="str">
        <x:v>특약 없음</x:v>
      </x:c>
      <x:c r="P210" s="2" t="str">
        <x:f>IF(O210="선택 안함","선택 안함",IF(O210="특약 없음","특약 없음","가입"))</x:f>
        <x:v>특약 없음</x:v>
      </x:c>
      <x:c r="Q210" s="2" t="str">
        <x:f>IF(P210="가입","가입","미가입")</x:f>
        <x:v>미가입</x:v>
      </x:c>
    </x:row>
    <x:row r="211" ht="23" customHeight="1">
      <x:c r="A211" s="2" t="str">
        <x:v>C0515</x:v>
      </x:c>
      <x:c r="B211" s="7" t="n">
        <x:v>29</x:v>
      </x:c>
      <x:c r="C211" s="2" t="str">
        <x:f>INT(B211/10)*10&amp;"대"</x:f>
        <x:v>20대</x:v>
      </x:c>
      <x:c r="D211" s="2" t="str">
        <x:v>여성</x:v>
      </x:c>
      <x:c r="E211" s="7" t="n">
        <x:v>5000</x:v>
      </x:c>
      <x:c r="F211" s="7" t="n">
        <x:v>1</x:v>
      </x:c>
      <x:c r="G211" s="2" t="str">
        <x:v>미혼</x:v>
      </x:c>
      <x:c r="H211" s="7" t="n">
        <x:v>0</x:v>
      </x:c>
      <x:c r="I211" s="2" t="str">
        <x:f>IF(H211&lt;3,H211&amp;"명","3명 이상")</x:f>
        <x:v>0명</x:v>
      </x:c>
      <x:c r="J211" s="2" t="str">
        <x:v>비흡연</x:v>
      </x:c>
      <x:c r="K211" s="2" t="str">
        <x:v>없음</x:v>
      </x:c>
      <x:c r="L211" s="2" t="str">
        <x:v>암</x:v>
      </x:c>
      <x:c r="M211" s="2" t="str">
        <x:v>수호천사 행복 연금보험</x:v>
      </x:c>
      <x:c r="N211" s="2" t="str">
        <x:f>VLOOKUP(M211,'분류기준'!$A$5:$B$8,2,FALSE)</x:f>
        <x:v>연금보험</x:v>
      </x:c>
      <x:c r="O211" s="2" t="str">
        <x:v>특약 없음</x:v>
      </x:c>
      <x:c r="P211" s="2" t="str">
        <x:f>IF(O211="선택 안함","선택 안함",IF(O211="특약 없음","특약 없음","가입"))</x:f>
        <x:v>특약 없음</x:v>
      </x:c>
      <x:c r="Q211" s="2" t="str">
        <x:f>IF(P211="가입","가입","미가입")</x:f>
        <x:v>미가입</x:v>
      </x:c>
    </x:row>
    <x:row r="212" ht="23" customHeight="1">
      <x:c r="A212" s="2" t="str">
        <x:v>C0528</x:v>
      </x:c>
      <x:c r="B212" s="7" t="n">
        <x:v>29</x:v>
      </x:c>
      <x:c r="C212" s="2" t="str">
        <x:f>INT(B212/10)*10&amp;"대"</x:f>
        <x:v>20대</x:v>
      </x:c>
      <x:c r="D212" s="2" t="str">
        <x:v>남성</x:v>
      </x:c>
      <x:c r="E212" s="7" t="n">
        <x:v>5000</x:v>
      </x:c>
      <x:c r="F212" s="7" t="n">
        <x:v>3</x:v>
      </x:c>
      <x:c r="G212" s="2" t="str">
        <x:v>미혼</x:v>
      </x:c>
      <x:c r="H212" s="7" t="n">
        <x:v>0</x:v>
      </x:c>
      <x:c r="I212" s="2" t="str">
        <x:f>IF(H212&lt;3,H212&amp;"명","3명 이상")</x:f>
        <x:v>0명</x:v>
      </x:c>
      <x:c r="J212" s="2" t="str">
        <x:v>비흡연</x:v>
      </x:c>
      <x:c r="K212" s="2" t="str">
        <x:v>없음</x:v>
      </x:c>
      <x:c r="L212" s="2" t="str">
        <x:v>암</x:v>
      </x:c>
      <x:c r="M212" s="2" t="str">
        <x:v>수호천사 행복 연금보험</x:v>
      </x:c>
      <x:c r="N212" s="2" t="str">
        <x:f>VLOOKUP(M212,'분류기준'!$A$5:$B$8,2,FALSE)</x:f>
        <x:v>연금보험</x:v>
      </x:c>
      <x:c r="O212" s="2" t="str">
        <x:v>특약 없음</x:v>
      </x:c>
      <x:c r="P212" s="2" t="str">
        <x:f>IF(O212="선택 안함","선택 안함",IF(O212="특약 없음","특약 없음","가입"))</x:f>
        <x:v>특약 없음</x:v>
      </x:c>
      <x:c r="Q212" s="2" t="str">
        <x:f>IF(P212="가입","가입","미가입")</x:f>
        <x:v>미가입</x:v>
      </x:c>
    </x:row>
    <x:row r="213" ht="23" customHeight="1">
      <x:c r="A213" s="2" t="str">
        <x:v>C0590</x:v>
      </x:c>
      <x:c r="B213" s="7" t="n">
        <x:v>29</x:v>
      </x:c>
      <x:c r="C213" s="2" t="str">
        <x:f>INT(B213/10)*10&amp;"대"</x:f>
        <x:v>20대</x:v>
      </x:c>
      <x:c r="D213" s="2" t="str">
        <x:v>여성</x:v>
      </x:c>
      <x:c r="E213" s="7" t="n">
        <x:v>6000</x:v>
      </x:c>
      <x:c r="F213" s="7" t="n">
        <x:v>3</x:v>
      </x:c>
      <x:c r="G213" s="2" t="str">
        <x:v>기혼</x:v>
      </x:c>
      <x:c r="H213" s="7" t="n">
        <x:v>0</x:v>
      </x:c>
      <x:c r="I213" s="2" t="str">
        <x:f>IF(H213&lt;3,H213&amp;"명","3명 이상")</x:f>
        <x:v>0명</x:v>
      </x:c>
      <x:c r="J213" s="2" t="str">
        <x:v>비흡연</x:v>
      </x:c>
      <x:c r="K213" s="2" t="str">
        <x:v>없음</x:v>
      </x:c>
      <x:c r="L213" s="2" t="str">
        <x:v>없음</x:v>
      </x:c>
      <x:c r="M213" s="2" t="str">
        <x:v>수호천사 행복 연금보험</x:v>
      </x:c>
      <x:c r="N213" s="2" t="str">
        <x:f>VLOOKUP(M213,'분류기준'!$A$5:$B$8,2,FALSE)</x:f>
        <x:v>연금보험</x:v>
      </x:c>
      <x:c r="O213" s="2" t="str">
        <x:v>특약 없음</x:v>
      </x:c>
      <x:c r="P213" s="2" t="str">
        <x:f>IF(O213="선택 안함","선택 안함",IF(O213="특약 없음","특약 없음","가입"))</x:f>
        <x:v>특약 없음</x:v>
      </x:c>
      <x:c r="Q213" s="2" t="str">
        <x:f>IF(P213="가입","가입","미가입")</x:f>
        <x:v>미가입</x:v>
      </x:c>
    </x:row>
    <x:row r="214" ht="23" customHeight="1">
      <x:c r="A214" s="2" t="str">
        <x:v>C0623</x:v>
      </x:c>
      <x:c r="B214" s="7" t="n">
        <x:v>29</x:v>
      </x:c>
      <x:c r="C214" s="2" t="str">
        <x:f>INT(B214/10)*10&amp;"대"</x:f>
        <x:v>20대</x:v>
      </x:c>
      <x:c r="D214" s="2" t="str">
        <x:v>여성</x:v>
      </x:c>
      <x:c r="E214" s="7" t="n">
        <x:v>5000</x:v>
      </x:c>
      <x:c r="F214" s="7" t="n">
        <x:v>2</x:v>
      </x:c>
      <x:c r="G214" s="2" t="str">
        <x:v>미혼</x:v>
      </x:c>
      <x:c r="H214" s="7" t="n">
        <x:v>0</x:v>
      </x:c>
      <x:c r="I214" s="2" t="str">
        <x:f>IF(H214&lt;3,H214&amp;"명","3명 이상")</x:f>
        <x:v>0명</x:v>
      </x:c>
      <x:c r="J214" s="2" t="str">
        <x:v>비흡연</x:v>
      </x:c>
      <x:c r="K214" s="2" t="str">
        <x:v>없음</x:v>
      </x:c>
      <x:c r="L214" s="2" t="str">
        <x:v>암</x:v>
      </x:c>
      <x:c r="M214" s="2" t="str">
        <x:v>수호천사 암/건강보험</x:v>
      </x:c>
      <x:c r="N214" s="2" t="str">
        <x:f>VLOOKUP(M214,'분류기준'!$A$5:$B$8,2,FALSE)</x:f>
        <x:v>암/건강보험</x:v>
      </x:c>
      <x:c r="O214" s="2" t="str">
        <x:v>선택 안함</x:v>
      </x:c>
      <x:c r="P214" s="2" t="str">
        <x:f>IF(O214="선택 안함","선택 안함",IF(O214="특약 없음","특약 없음","가입"))</x:f>
        <x:v>선택 안함</x:v>
      </x:c>
      <x:c r="Q214" s="2" t="str">
        <x:f>IF(P214="가입","가입","미가입")</x:f>
        <x:v>미가입</x:v>
      </x:c>
    </x:row>
    <x:row r="215" ht="23" customHeight="1">
      <x:c r="A215" s="2" t="str">
        <x:v>C0668</x:v>
      </x:c>
      <x:c r="B215" s="7" t="n">
        <x:v>29</x:v>
      </x:c>
      <x:c r="C215" s="2" t="str">
        <x:f>INT(B215/10)*10&amp;"대"</x:f>
        <x:v>20대</x:v>
      </x:c>
      <x:c r="D215" s="2" t="str">
        <x:v>여성</x:v>
      </x:c>
      <x:c r="E215" s="7" t="n">
        <x:v>5000</x:v>
      </x:c>
      <x:c r="F215" s="7" t="n">
        <x:v>1</x:v>
      </x:c>
      <x:c r="G215" s="2" t="str">
        <x:v>미혼</x:v>
      </x:c>
      <x:c r="H215" s="7" t="n">
        <x:v>0</x:v>
      </x:c>
      <x:c r="I215" s="2" t="str">
        <x:f>IF(H215&lt;3,H215&amp;"명","3명 이상")</x:f>
        <x:v>0명</x:v>
      </x:c>
      <x:c r="J215" s="2" t="str">
        <x:v>비흡연</x:v>
      </x:c>
      <x:c r="K215" s="2" t="str">
        <x:v>없음</x:v>
      </x:c>
      <x:c r="L215" s="2" t="str">
        <x:v>없음</x:v>
      </x:c>
      <x:c r="M215" s="2" t="str">
        <x:v>수호천사 행복 연금보험</x:v>
      </x:c>
      <x:c r="N215" s="2" t="str">
        <x:f>VLOOKUP(M215,'분류기준'!$A$5:$B$8,2,FALSE)</x:f>
        <x:v>연금보험</x:v>
      </x:c>
      <x:c r="O215" s="2" t="str">
        <x:v>특약 없음</x:v>
      </x:c>
      <x:c r="P215" s="2" t="str">
        <x:f>IF(O215="선택 안함","선택 안함",IF(O215="특약 없음","특약 없음","가입"))</x:f>
        <x:v>특약 없음</x:v>
      </x:c>
      <x:c r="Q215" s="2" t="str">
        <x:f>IF(P215="가입","가입","미가입")</x:f>
        <x:v>미가입</x:v>
      </x:c>
    </x:row>
    <x:row r="216" ht="23" customHeight="1">
      <x:c r="A216" s="2" t="str">
        <x:v>C0702</x:v>
      </x:c>
      <x:c r="B216" s="7" t="n">
        <x:v>29</x:v>
      </x:c>
      <x:c r="C216" s="2" t="str">
        <x:f>INT(B216/10)*10&amp;"대"</x:f>
        <x:v>20대</x:v>
      </x:c>
      <x:c r="D216" s="2" t="str">
        <x:v>남성</x:v>
      </x:c>
      <x:c r="E216" s="7" t="n">
        <x:v>3000</x:v>
      </x:c>
      <x:c r="F216" s="7" t="n">
        <x:v>1</x:v>
      </x:c>
      <x:c r="G216" s="2" t="str">
        <x:v>미혼</x:v>
      </x:c>
      <x:c r="H216" s="7" t="n">
        <x:v>0</x:v>
      </x:c>
      <x:c r="I216" s="2" t="str">
        <x:f>IF(H216&lt;3,H216&amp;"명","3명 이상")</x:f>
        <x:v>0명</x:v>
      </x:c>
      <x:c r="J216" s="2" t="str">
        <x:v>비흡연</x:v>
      </x:c>
      <x:c r="K216" s="2" t="str">
        <x:v>없음</x:v>
      </x:c>
      <x:c r="L216" s="2" t="str">
        <x:v>없음</x:v>
      </x:c>
      <x:c r="M216" s="2" t="str">
        <x:v>수호천사 우리가족 종신보험</x:v>
      </x:c>
      <x:c r="N216" s="2" t="str">
        <x:f>VLOOKUP(M216,'분류기준'!$A$5:$B$8,2,FALSE)</x:f>
        <x:v>종신보험</x:v>
      </x:c>
      <x:c r="O216" s="2" t="str">
        <x:v>선택 안함</x:v>
      </x:c>
      <x:c r="P216" s="2" t="str">
        <x:f>IF(O216="선택 안함","선택 안함",IF(O216="특약 없음","특약 없음","가입"))</x:f>
        <x:v>선택 안함</x:v>
      </x:c>
      <x:c r="Q216" s="2" t="str">
        <x:f>IF(P216="가입","가입","미가입")</x:f>
        <x:v>미가입</x:v>
      </x:c>
    </x:row>
    <x:row r="217" ht="23" customHeight="1">
      <x:c r="A217" s="2" t="str">
        <x:v>C0734</x:v>
      </x:c>
      <x:c r="B217" s="7" t="n">
        <x:v>29</x:v>
      </x:c>
      <x:c r="C217" s="2" t="str">
        <x:f>INT(B217/10)*10&amp;"대"</x:f>
        <x:v>20대</x:v>
      </x:c>
      <x:c r="D217" s="2" t="str">
        <x:v>여성</x:v>
      </x:c>
      <x:c r="E217" s="7" t="n">
        <x:v>3000</x:v>
      </x:c>
      <x:c r="F217" s="7" t="n">
        <x:v>1</x:v>
      </x:c>
      <x:c r="G217" s="2" t="str">
        <x:v>미혼</x:v>
      </x:c>
      <x:c r="H217" s="7" t="n">
        <x:v>0</x:v>
      </x:c>
      <x:c r="I217" s="2" t="str">
        <x:f>IF(H217&lt;3,H217&amp;"명","3명 이상")</x:f>
        <x:v>0명</x:v>
      </x:c>
      <x:c r="J217" s="2" t="str">
        <x:v>비흡연</x:v>
      </x:c>
      <x:c r="K217" s="2" t="str">
        <x:v>없음</x:v>
      </x:c>
      <x:c r="L217" s="2" t="str">
        <x:v>없음</x:v>
      </x:c>
      <x:c r="M217" s="2" t="str">
        <x:v>수호천사 암/건강보험</x:v>
      </x:c>
      <x:c r="N217" s="2" t="str">
        <x:f>VLOOKUP(M217,'분류기준'!$A$5:$B$8,2,FALSE)</x:f>
        <x:v>암/건강보험</x:v>
      </x:c>
      <x:c r="O217" s="2" t="str">
        <x:v>표적항암약물허가치료 특약</x:v>
      </x:c>
      <x:c r="P217" s="2" t="str">
        <x:f>IF(O217="선택 안함","선택 안함",IF(O217="특약 없음","특약 없음","가입"))</x:f>
        <x:v>가입</x:v>
      </x:c>
      <x:c r="Q217" s="2" t="str">
        <x:f>IF(P217="가입","가입","미가입")</x:f>
        <x:v>가입</x:v>
      </x:c>
    </x:row>
    <x:row r="218" ht="23" customHeight="1">
      <x:c r="A218" s="2" t="str">
        <x:v>C0735</x:v>
      </x:c>
      <x:c r="B218" s="7" t="n">
        <x:v>29</x:v>
      </x:c>
      <x:c r="C218" s="2" t="str">
        <x:f>INT(B218/10)*10&amp;"대"</x:f>
        <x:v>20대</x:v>
      </x:c>
      <x:c r="D218" s="2" t="str">
        <x:v>여성</x:v>
      </x:c>
      <x:c r="E218" s="7" t="n">
        <x:v>7500</x:v>
      </x:c>
      <x:c r="F218" s="7" t="n">
        <x:v>1</x:v>
      </x:c>
      <x:c r="G218" s="2" t="str">
        <x:v>미혼</x:v>
      </x:c>
      <x:c r="H218" s="7" t="n">
        <x:v>0</x:v>
      </x:c>
      <x:c r="I218" s="2" t="str">
        <x:f>IF(H218&lt;3,H218&amp;"명","3명 이상")</x:f>
        <x:v>0명</x:v>
      </x:c>
      <x:c r="J218" s="2" t="str">
        <x:v>비흡연</x:v>
      </x:c>
      <x:c r="K218" s="2" t="str">
        <x:v>당뇨</x:v>
      </x:c>
      <x:c r="L218" s="2" t="str">
        <x:v>암</x:v>
      </x:c>
      <x:c r="M218" s="2" t="str">
        <x:v>수호천사 간편심사(유병자)보험</x:v>
      </x:c>
      <x:c r="N218" s="2" t="str">
        <x:f>VLOOKUP(M218,'분류기준'!$A$5:$B$8,2,FALSE)</x:f>
        <x:v>간편심사보험</x:v>
      </x:c>
      <x:c r="O218" s="2" t="str">
        <x:v>중증질환 산정특례 보장 특약</x:v>
      </x:c>
      <x:c r="P218" s="2" t="str">
        <x:f>IF(O218="선택 안함","선택 안함",IF(O218="특약 없음","특약 없음","가입"))</x:f>
        <x:v>가입</x:v>
      </x:c>
      <x:c r="Q218" s="2" t="str">
        <x:f>IF(P218="가입","가입","미가입")</x:f>
        <x:v>가입</x:v>
      </x:c>
    </x:row>
    <x:row r="219" ht="23" customHeight="1">
      <x:c r="A219" s="2" t="str">
        <x:v>C0791</x:v>
      </x:c>
      <x:c r="B219" s="7" t="n">
        <x:v>29</x:v>
      </x:c>
      <x:c r="C219" s="2" t="str">
        <x:f>INT(B219/10)*10&amp;"대"</x:f>
        <x:v>20대</x:v>
      </x:c>
      <x:c r="D219" s="2" t="str">
        <x:v>여성</x:v>
      </x:c>
      <x:c r="E219" s="7" t="n">
        <x:v>12000</x:v>
      </x:c>
      <x:c r="F219" s="7" t="n">
        <x:v>1</x:v>
      </x:c>
      <x:c r="G219" s="2" t="str">
        <x:v>미혼</x:v>
      </x:c>
      <x:c r="H219" s="7" t="n">
        <x:v>0</x:v>
      </x:c>
      <x:c r="I219" s="2" t="str">
        <x:f>IF(H219&lt;3,H219&amp;"명","3명 이상")</x:f>
        <x:v>0명</x:v>
      </x:c>
      <x:c r="J219" s="2" t="str">
        <x:v>흡연</x:v>
      </x:c>
      <x:c r="K219" s="2" t="str">
        <x:v>없음</x:v>
      </x:c>
      <x:c r="L219" s="2" t="str">
        <x:v>암</x:v>
      </x:c>
      <x:c r="M219" s="2" t="str">
        <x:v>수호천사 암/건강보험</x:v>
      </x:c>
      <x:c r="N219" s="2" t="str">
        <x:f>VLOOKUP(M219,'분류기준'!$A$5:$B$8,2,FALSE)</x:f>
        <x:v>암/건강보험</x:v>
      </x:c>
      <x:c r="O219" s="2" t="str">
        <x:v>표적항암약물허가치료 특약</x:v>
      </x:c>
      <x:c r="P219" s="2" t="str">
        <x:f>IF(O219="선택 안함","선택 안함",IF(O219="특약 없음","특약 없음","가입"))</x:f>
        <x:v>가입</x:v>
      </x:c>
      <x:c r="Q219" s="2" t="str">
        <x:f>IF(P219="가입","가입","미가입")</x:f>
        <x:v>가입</x:v>
      </x:c>
    </x:row>
    <x:row r="220" ht="23" customHeight="1">
      <x:c r="A220" s="2" t="str">
        <x:v>C0793</x:v>
      </x:c>
      <x:c r="B220" s="7" t="n">
        <x:v>29</x:v>
      </x:c>
      <x:c r="C220" s="2" t="str">
        <x:f>INT(B220/10)*10&amp;"대"</x:f>
        <x:v>20대</x:v>
      </x:c>
      <x:c r="D220" s="2" t="str">
        <x:v>여성</x:v>
      </x:c>
      <x:c r="E220" s="7" t="n">
        <x:v>6000</x:v>
      </x:c>
      <x:c r="F220" s="7" t="n">
        <x:v>1</x:v>
      </x:c>
      <x:c r="G220" s="2" t="str">
        <x:v>미혼</x:v>
      </x:c>
      <x:c r="H220" s="7" t="n">
        <x:v>0</x:v>
      </x:c>
      <x:c r="I220" s="2" t="str">
        <x:f>IF(H220&lt;3,H220&amp;"명","3명 이상")</x:f>
        <x:v>0명</x:v>
      </x:c>
      <x:c r="J220" s="2" t="str">
        <x:v>비흡연</x:v>
      </x:c>
      <x:c r="K220" s="2" t="str">
        <x:v>없음</x:v>
      </x:c>
      <x:c r="L220" s="2" t="str">
        <x:v>없음</x:v>
      </x:c>
      <x:c r="M220" s="2" t="str">
        <x:v>수호천사 암/건강보험</x:v>
      </x:c>
      <x:c r="N220" s="2" t="str">
        <x:f>VLOOKUP(M220,'분류기준'!$A$5:$B$8,2,FALSE)</x:f>
        <x:v>암/건강보험</x:v>
      </x:c>
      <x:c r="O220" s="2" t="str">
        <x:v>표적항암약물허가치료 특약</x:v>
      </x:c>
      <x:c r="P220" s="2" t="str">
        <x:f>IF(O220="선택 안함","선택 안함",IF(O220="특약 없음","특약 없음","가입"))</x:f>
        <x:v>가입</x:v>
      </x:c>
      <x:c r="Q220" s="2" t="str">
        <x:f>IF(P220="가입","가입","미가입")</x:f>
        <x:v>가입</x:v>
      </x:c>
    </x:row>
    <x:row r="221" ht="23" customHeight="1">
      <x:c r="A221" s="2" t="str">
        <x:v>C0877</x:v>
      </x:c>
      <x:c r="B221" s="7" t="n">
        <x:v>29</x:v>
      </x:c>
      <x:c r="C221" s="2" t="str">
        <x:f>INT(B221/10)*10&amp;"대"</x:f>
        <x:v>20대</x:v>
      </x:c>
      <x:c r="D221" s="2" t="str">
        <x:v>여성</x:v>
      </x:c>
      <x:c r="E221" s="7" t="n">
        <x:v>7500</x:v>
      </x:c>
      <x:c r="F221" s="7" t="n">
        <x:v>1</x:v>
      </x:c>
      <x:c r="G221" s="2" t="str">
        <x:v>미혼</x:v>
      </x:c>
      <x:c r="H221" s="7" t="n">
        <x:v>0</x:v>
      </x:c>
      <x:c r="I221" s="2" t="str">
        <x:f>IF(H221&lt;3,H221&amp;"명","3명 이상")</x:f>
        <x:v>0명</x:v>
      </x:c>
      <x:c r="J221" s="2" t="str">
        <x:v>비흡연</x:v>
      </x:c>
      <x:c r="K221" s="2" t="str">
        <x:v>고혈압</x:v>
      </x:c>
      <x:c r="L221" s="2" t="str">
        <x:v>없음</x:v>
      </x:c>
      <x:c r="M221" s="2" t="str">
        <x:v>수호천사 행복 연금보험</x:v>
      </x:c>
      <x:c r="N221" s="2" t="str">
        <x:f>VLOOKUP(M221,'분류기준'!$A$5:$B$8,2,FALSE)</x:f>
        <x:v>연금보험</x:v>
      </x:c>
      <x:c r="O221" s="2" t="str">
        <x:v>특약 없음</x:v>
      </x:c>
      <x:c r="P221" s="2" t="str">
        <x:f>IF(O221="선택 안함","선택 안함",IF(O221="특약 없음","특약 없음","가입"))</x:f>
        <x:v>특약 없음</x:v>
      </x:c>
      <x:c r="Q221" s="2" t="str">
        <x:f>IF(P221="가입","가입","미가입")</x:f>
        <x:v>미가입</x:v>
      </x:c>
    </x:row>
    <x:row r="222" ht="23" customHeight="1">
      <x:c r="A222" s="2" t="str">
        <x:v>C0890</x:v>
      </x:c>
      <x:c r="B222" s="7" t="n">
        <x:v>29</x:v>
      </x:c>
      <x:c r="C222" s="2" t="str">
        <x:f>INT(B222/10)*10&amp;"대"</x:f>
        <x:v>20대</x:v>
      </x:c>
      <x:c r="D222" s="2" t="str">
        <x:v>남성</x:v>
      </x:c>
      <x:c r="E222" s="7" t="n">
        <x:v>9000</x:v>
      </x:c>
      <x:c r="F222" s="7" t="n">
        <x:v>1</x:v>
      </x:c>
      <x:c r="G222" s="2" t="str">
        <x:v>미혼</x:v>
      </x:c>
      <x:c r="H222" s="7" t="n">
        <x:v>0</x:v>
      </x:c>
      <x:c r="I222" s="2" t="str">
        <x:f>IF(H222&lt;3,H222&amp;"명","3명 이상")</x:f>
        <x:v>0명</x:v>
      </x:c>
      <x:c r="J222" s="2" t="str">
        <x:v>흡연</x:v>
      </x:c>
      <x:c r="K222" s="2" t="str">
        <x:v>없음</x:v>
      </x:c>
      <x:c r="L222" s="2" t="str">
        <x:v>암</x:v>
      </x:c>
      <x:c r="M222" s="2" t="str">
        <x:v>수호천사 암/건강보험</x:v>
      </x:c>
      <x:c r="N222" s="2" t="str">
        <x:f>VLOOKUP(M222,'분류기준'!$A$5:$B$8,2,FALSE)</x:f>
        <x:v>암/건강보험</x:v>
      </x:c>
      <x:c r="O222" s="2" t="str">
        <x:v>선택 안함</x:v>
      </x:c>
      <x:c r="P222" s="2" t="str">
        <x:f>IF(O222="선택 안함","선택 안함",IF(O222="특약 없음","특약 없음","가입"))</x:f>
        <x:v>선택 안함</x:v>
      </x:c>
      <x:c r="Q222" s="2" t="str">
        <x:f>IF(P222="가입","가입","미가입")</x:f>
        <x:v>미가입</x:v>
      </x:c>
    </x:row>
    <x:row r="223" ht="23" customHeight="1">
      <x:c r="A223" s="2" t="str">
        <x:v>C0968</x:v>
      </x:c>
      <x:c r="B223" s="7" t="n">
        <x:v>29</x:v>
      </x:c>
      <x:c r="C223" s="2" t="str">
        <x:f>INT(B223/10)*10&amp;"대"</x:f>
        <x:v>20대</x:v>
      </x:c>
      <x:c r="D223" s="2" t="str">
        <x:v>남성</x:v>
      </x:c>
      <x:c r="E223" s="7" t="n">
        <x:v>9000</x:v>
      </x:c>
      <x:c r="F223" s="7" t="n">
        <x:v>1</x:v>
      </x:c>
      <x:c r="G223" s="2" t="str">
        <x:v>미혼</x:v>
      </x:c>
      <x:c r="H223" s="7" t="n">
        <x:v>0</x:v>
      </x:c>
      <x:c r="I223" s="2" t="str">
        <x:f>IF(H223&lt;3,H223&amp;"명","3명 이상")</x:f>
        <x:v>0명</x:v>
      </x:c>
      <x:c r="J223" s="2" t="str">
        <x:v>흡연</x:v>
      </x:c>
      <x:c r="K223" s="2" t="str">
        <x:v>없음</x:v>
      </x:c>
      <x:c r="L223" s="2" t="str">
        <x:v>심혈관</x:v>
      </x:c>
      <x:c r="M223" s="2" t="str">
        <x:v>수호천사 행복 연금보험</x:v>
      </x:c>
      <x:c r="N223" s="2" t="str">
        <x:f>VLOOKUP(M223,'분류기준'!$A$5:$B$8,2,FALSE)</x:f>
        <x:v>연금보험</x:v>
      </x:c>
      <x:c r="O223" s="2" t="str">
        <x:v>특약 없음</x:v>
      </x:c>
      <x:c r="P223" s="2" t="str">
        <x:f>IF(O223="선택 안함","선택 안함",IF(O223="특약 없음","특약 없음","가입"))</x:f>
        <x:v>특약 없음</x:v>
      </x:c>
      <x:c r="Q223" s="2" t="str">
        <x:f>IF(P223="가입","가입","미가입")</x:f>
        <x:v>미가입</x:v>
      </x:c>
    </x:row>
    <x:row r="224" ht="23" customHeight="1">
      <x:c r="A224" s="2" t="str">
        <x:v>C0971</x:v>
      </x:c>
      <x:c r="B224" s="7" t="n">
        <x:v>29</x:v>
      </x:c>
      <x:c r="C224" s="2" t="str">
        <x:f>INT(B224/10)*10&amp;"대"</x:f>
        <x:v>20대</x:v>
      </x:c>
      <x:c r="D224" s="2" t="str">
        <x:v>여성</x:v>
      </x:c>
      <x:c r="E224" s="7" t="n">
        <x:v>7500</x:v>
      </x:c>
      <x:c r="F224" s="7" t="n">
        <x:v>1</x:v>
      </x:c>
      <x:c r="G224" s="2" t="str">
        <x:v>미혼</x:v>
      </x:c>
      <x:c r="H224" s="7" t="n">
        <x:v>0</x:v>
      </x:c>
      <x:c r="I224" s="2" t="str">
        <x:f>IF(H224&lt;3,H224&amp;"명","3명 이상")</x:f>
        <x:v>0명</x:v>
      </x:c>
      <x:c r="J224" s="2" t="str">
        <x:v>흡연</x:v>
      </x:c>
      <x:c r="K224" s="2" t="str">
        <x:v>없음</x:v>
      </x:c>
      <x:c r="L224" s="2" t="str">
        <x:v>없음</x:v>
      </x:c>
      <x:c r="M224" s="2" t="str">
        <x:v>수호천사 암/건강보험</x:v>
      </x:c>
      <x:c r="N224" s="2" t="str">
        <x:f>VLOOKUP(M224,'분류기준'!$A$5:$B$8,2,FALSE)</x:f>
        <x:v>암/건강보험</x:v>
      </x:c>
      <x:c r="O224" s="2" t="str">
        <x:v>선택 안함</x:v>
      </x:c>
      <x:c r="P224" s="2" t="str">
        <x:f>IF(O224="선택 안함","선택 안함",IF(O224="특약 없음","특약 없음","가입"))</x:f>
        <x:v>선택 안함</x:v>
      </x:c>
      <x:c r="Q224" s="2" t="str">
        <x:f>IF(P224="가입","가입","미가입")</x:f>
        <x:v>미가입</x:v>
      </x:c>
    </x:row>
    <x:row r="225" ht="23" customHeight="1">
      <x:c r="A225" s="2" t="str">
        <x:v>C0010</x:v>
      </x:c>
      <x:c r="B225" s="7" t="n">
        <x:v>30</x:v>
      </x:c>
      <x:c r="C225" s="2" t="str">
        <x:f>INT(B225/10)*10&amp;"대"</x:f>
        <x:v>30대</x:v>
      </x:c>
      <x:c r="D225" s="2" t="str">
        <x:v>여성</x:v>
      </x:c>
      <x:c r="E225" s="7" t="n">
        <x:v>7500</x:v>
      </x:c>
      <x:c r="F225" s="7" t="n">
        <x:v>1</x:v>
      </x:c>
      <x:c r="G225" s="2" t="str">
        <x:v>미혼</x:v>
      </x:c>
      <x:c r="H225" s="7" t="n">
        <x:v>0</x:v>
      </x:c>
      <x:c r="I225" s="2" t="str">
        <x:f>IF(H225&lt;3,H225&amp;"명","3명 이상")</x:f>
        <x:v>0명</x:v>
      </x:c>
      <x:c r="J225" s="2" t="str">
        <x:v>비흡연</x:v>
      </x:c>
      <x:c r="K225" s="2" t="str">
        <x:v>없음</x:v>
      </x:c>
      <x:c r="L225" s="2" t="str">
        <x:v>없음</x:v>
      </x:c>
      <x:c r="M225" s="2" t="str">
        <x:v>수호천사 행복 연금보험</x:v>
      </x:c>
      <x:c r="N225" s="2" t="str">
        <x:f>VLOOKUP(M225,'분류기준'!$A$5:$B$8,2,FALSE)</x:f>
        <x:v>연금보험</x:v>
      </x:c>
      <x:c r="O225" s="2" t="str">
        <x:v>특약 없음</x:v>
      </x:c>
      <x:c r="P225" s="2" t="str">
        <x:f>IF(O225="선택 안함","선택 안함",IF(O225="특약 없음","특약 없음","가입"))</x:f>
        <x:v>특약 없음</x:v>
      </x:c>
      <x:c r="Q225" s="2" t="str">
        <x:f>IF(P225="가입","가입","미가입")</x:f>
        <x:v>미가입</x:v>
      </x:c>
    </x:row>
    <x:row r="226" ht="23" customHeight="1">
      <x:c r="A226" s="2" t="str">
        <x:v>C0011</x:v>
      </x:c>
      <x:c r="B226" s="7" t="n">
        <x:v>30</x:v>
      </x:c>
      <x:c r="C226" s="2" t="str">
        <x:f>INT(B226/10)*10&amp;"대"</x:f>
        <x:v>30대</x:v>
      </x:c>
      <x:c r="D226" s="2" t="str">
        <x:v>여성</x:v>
      </x:c>
      <x:c r="E226" s="7" t="n">
        <x:v>6000</x:v>
      </x:c>
      <x:c r="F226" s="7" t="n">
        <x:v>3</x:v>
      </x:c>
      <x:c r="G226" s="2" t="str">
        <x:v>미혼</x:v>
      </x:c>
      <x:c r="H226" s="7" t="n">
        <x:v>0</x:v>
      </x:c>
      <x:c r="I226" s="2" t="str">
        <x:f>IF(H226&lt;3,H226&amp;"명","3명 이상")</x:f>
        <x:v>0명</x:v>
      </x:c>
      <x:c r="J226" s="2" t="str">
        <x:v>비흡연</x:v>
      </x:c>
      <x:c r="K226" s="2" t="str">
        <x:v>없음</x:v>
      </x:c>
      <x:c r="L226" s="2" t="str">
        <x:v>암</x:v>
      </x:c>
      <x:c r="M226" s="2" t="str">
        <x:v>수호천사 암/건강보험</x:v>
      </x:c>
      <x:c r="N226" s="2" t="str">
        <x:f>VLOOKUP(M226,'분류기준'!$A$5:$B$8,2,FALSE)</x:f>
        <x:v>암/건강보험</x:v>
      </x:c>
      <x:c r="O226" s="2" t="str">
        <x:v>수술비 보장 특약</x:v>
      </x:c>
      <x:c r="P226" s="2" t="str">
        <x:f>IF(O226="선택 안함","선택 안함",IF(O226="특약 없음","특약 없음","가입"))</x:f>
        <x:v>가입</x:v>
      </x:c>
      <x:c r="Q226" s="2" t="str">
        <x:f>IF(P226="가입","가입","미가입")</x:f>
        <x:v>가입</x:v>
      </x:c>
    </x:row>
    <x:row r="227" ht="23" customHeight="1">
      <x:c r="A227" s="2" t="str">
        <x:v>C0099</x:v>
      </x:c>
      <x:c r="B227" s="7" t="n">
        <x:v>30</x:v>
      </x:c>
      <x:c r="C227" s="2" t="str">
        <x:f>INT(B227/10)*10&amp;"대"</x:f>
        <x:v>30대</x:v>
      </x:c>
      <x:c r="D227" s="2" t="str">
        <x:v>여성</x:v>
      </x:c>
      <x:c r="E227" s="7" t="n">
        <x:v>4000</x:v>
      </x:c>
      <x:c r="F227" s="7" t="n">
        <x:v>2</x:v>
      </x:c>
      <x:c r="G227" s="2" t="str">
        <x:v>미혼</x:v>
      </x:c>
      <x:c r="H227" s="7" t="n">
        <x:v>0</x:v>
      </x:c>
      <x:c r="I227" s="2" t="str">
        <x:f>IF(H227&lt;3,H227&amp;"명","3명 이상")</x:f>
        <x:v>0명</x:v>
      </x:c>
      <x:c r="J227" s="2" t="str">
        <x:v>흡연</x:v>
      </x:c>
      <x:c r="K227" s="2" t="str">
        <x:v>없음</x:v>
      </x:c>
      <x:c r="L227" s="2" t="str">
        <x:v>없음</x:v>
      </x:c>
      <x:c r="M227" s="2" t="str">
        <x:v>수호천사 암/건강보험</x:v>
      </x:c>
      <x:c r="N227" s="2" t="str">
        <x:f>VLOOKUP(M227,'분류기준'!$A$5:$B$8,2,FALSE)</x:f>
        <x:v>암/건강보험</x:v>
      </x:c>
      <x:c r="O227" s="2" t="str">
        <x:v>표적항암약물허가치료 특약</x:v>
      </x:c>
      <x:c r="P227" s="2" t="str">
        <x:f>IF(O227="선택 안함","선택 안함",IF(O227="특약 없음","특약 없음","가입"))</x:f>
        <x:v>가입</x:v>
      </x:c>
      <x:c r="Q227" s="2" t="str">
        <x:f>IF(P227="가입","가입","미가입")</x:f>
        <x:v>가입</x:v>
      </x:c>
    </x:row>
    <x:row r="228" ht="23" customHeight="1">
      <x:c r="A228" s="2" t="str">
        <x:v>C0170</x:v>
      </x:c>
      <x:c r="B228" s="7" t="n">
        <x:v>30</x:v>
      </x:c>
      <x:c r="C228" s="2" t="str">
        <x:f>INT(B228/10)*10&amp;"대"</x:f>
        <x:v>30대</x:v>
      </x:c>
      <x:c r="D228" s="2" t="str">
        <x:v>여성</x:v>
      </x:c>
      <x:c r="E228" s="7" t="n">
        <x:v>6000</x:v>
      </x:c>
      <x:c r="F228" s="7" t="n">
        <x:v>1</x:v>
      </x:c>
      <x:c r="G228" s="2" t="str">
        <x:v>기혼</x:v>
      </x:c>
      <x:c r="H228" s="7" t="n">
        <x:v>1</x:v>
      </x:c>
      <x:c r="I228" s="2" t="str">
        <x:f>IF(H228&lt;3,H228&amp;"명","3명 이상")</x:f>
        <x:v>1명</x:v>
      </x:c>
      <x:c r="J228" s="2" t="str">
        <x:v>비흡연</x:v>
      </x:c>
      <x:c r="K228" s="2" t="str">
        <x:v>없음</x:v>
      </x:c>
      <x:c r="L228" s="2" t="str">
        <x:v>없음</x:v>
      </x:c>
      <x:c r="M228" s="2" t="str">
        <x:v>수호천사 암/건강보험</x:v>
      </x:c>
      <x:c r="N228" s="2" t="str">
        <x:f>VLOOKUP(M228,'분류기준'!$A$5:$B$8,2,FALSE)</x:f>
        <x:v>암/건강보험</x:v>
      </x:c>
      <x:c r="O228" s="2" t="str">
        <x:v>수술비 보장 특약</x:v>
      </x:c>
      <x:c r="P228" s="2" t="str">
        <x:f>IF(O228="선택 안함","선택 안함",IF(O228="특약 없음","특약 없음","가입"))</x:f>
        <x:v>가입</x:v>
      </x:c>
      <x:c r="Q228" s="2" t="str">
        <x:f>IF(P228="가입","가입","미가입")</x:f>
        <x:v>가입</x:v>
      </x:c>
    </x:row>
    <x:row r="229" ht="23" customHeight="1">
      <x:c r="A229" s="2" t="str">
        <x:v>C0217</x:v>
      </x:c>
      <x:c r="B229" s="7" t="n">
        <x:v>30</x:v>
      </x:c>
      <x:c r="C229" s="2" t="str">
        <x:f>INT(B229/10)*10&amp;"대"</x:f>
        <x:v>30대</x:v>
      </x:c>
      <x:c r="D229" s="2" t="str">
        <x:v>남성</x:v>
      </x:c>
      <x:c r="E229" s="7" t="n">
        <x:v>3000</x:v>
      </x:c>
      <x:c r="F229" s="7" t="n">
        <x:v>1</x:v>
      </x:c>
      <x:c r="G229" s="2" t="str">
        <x:v>미혼</x:v>
      </x:c>
      <x:c r="H229" s="7" t="n">
        <x:v>0</x:v>
      </x:c>
      <x:c r="I229" s="2" t="str">
        <x:f>IF(H229&lt;3,H229&amp;"명","3명 이상")</x:f>
        <x:v>0명</x:v>
      </x:c>
      <x:c r="J229" s="2" t="str">
        <x:v>비흡연</x:v>
      </x:c>
      <x:c r="K229" s="2" t="str">
        <x:v>없음</x:v>
      </x:c>
      <x:c r="L229" s="2" t="str">
        <x:v>없음</x:v>
      </x:c>
      <x:c r="M229" s="2" t="str">
        <x:v>수호천사 간편심사(유병자)보험</x:v>
      </x:c>
      <x:c r="N229" s="2" t="str">
        <x:f>VLOOKUP(M229,'분류기준'!$A$5:$B$8,2,FALSE)</x:f>
        <x:v>간편심사보험</x:v>
      </x:c>
      <x:c r="O229" s="2" t="str">
        <x:v>중증질환 산정특례 보장 특약</x:v>
      </x:c>
      <x:c r="P229" s="2" t="str">
        <x:f>IF(O229="선택 안함","선택 안함",IF(O229="특약 없음","특약 없음","가입"))</x:f>
        <x:v>가입</x:v>
      </x:c>
      <x:c r="Q229" s="2" t="str">
        <x:f>IF(P229="가입","가입","미가입")</x:f>
        <x:v>가입</x:v>
      </x:c>
    </x:row>
    <x:row r="230" ht="23" customHeight="1">
      <x:c r="A230" s="2" t="str">
        <x:v>C0225</x:v>
      </x:c>
      <x:c r="B230" s="7" t="n">
        <x:v>30</x:v>
      </x:c>
      <x:c r="C230" s="2" t="str">
        <x:f>INT(B230/10)*10&amp;"대"</x:f>
        <x:v>30대</x:v>
      </x:c>
      <x:c r="D230" s="2" t="str">
        <x:v>남성</x:v>
      </x:c>
      <x:c r="E230" s="7" t="n">
        <x:v>3000</x:v>
      </x:c>
      <x:c r="F230" s="7" t="n">
        <x:v>1</x:v>
      </x:c>
      <x:c r="G230" s="2" t="str">
        <x:v>기혼</x:v>
      </x:c>
      <x:c r="H230" s="7" t="n">
        <x:v>0</x:v>
      </x:c>
      <x:c r="I230" s="2" t="str">
        <x:f>IF(H230&lt;3,H230&amp;"명","3명 이상")</x:f>
        <x:v>0명</x:v>
      </x:c>
      <x:c r="J230" s="2" t="str">
        <x:v>흡연</x:v>
      </x:c>
      <x:c r="K230" s="2" t="str">
        <x:v>없음</x:v>
      </x:c>
      <x:c r="L230" s="2" t="str">
        <x:v>없음</x:v>
      </x:c>
      <x:c r="M230" s="2" t="str">
        <x:v>수호천사 암/건강보험</x:v>
      </x:c>
      <x:c r="N230" s="2" t="str">
        <x:f>VLOOKUP(M230,'분류기준'!$A$5:$B$8,2,FALSE)</x:f>
        <x:v>암/건강보험</x:v>
      </x:c>
      <x:c r="O230" s="2" t="str">
        <x:v>선택 안함</x:v>
      </x:c>
      <x:c r="P230" s="2" t="str">
        <x:f>IF(O230="선택 안함","선택 안함",IF(O230="특약 없음","특약 없음","가입"))</x:f>
        <x:v>선택 안함</x:v>
      </x:c>
      <x:c r="Q230" s="2" t="str">
        <x:f>IF(P230="가입","가입","미가입")</x:f>
        <x:v>미가입</x:v>
      </x:c>
    </x:row>
    <x:row r="231" ht="23" customHeight="1">
      <x:c r="A231" s="2" t="str">
        <x:v>C0249</x:v>
      </x:c>
      <x:c r="B231" s="7" t="n">
        <x:v>30</x:v>
      </x:c>
      <x:c r="C231" s="2" t="str">
        <x:f>INT(B231/10)*10&amp;"대"</x:f>
        <x:v>30대</x:v>
      </x:c>
      <x:c r="D231" s="2" t="str">
        <x:v>남성</x:v>
      </x:c>
      <x:c r="E231" s="7" t="n">
        <x:v>5000</x:v>
      </x:c>
      <x:c r="F231" s="7" t="n">
        <x:v>1</x:v>
      </x:c>
      <x:c r="G231" s="2" t="str">
        <x:v>기혼</x:v>
      </x:c>
      <x:c r="H231" s="7" t="n">
        <x:v>0</x:v>
      </x:c>
      <x:c r="I231" s="2" t="str">
        <x:f>IF(H231&lt;3,H231&amp;"명","3명 이상")</x:f>
        <x:v>0명</x:v>
      </x:c>
      <x:c r="J231" s="2" t="str">
        <x:v>비흡연</x:v>
      </x:c>
      <x:c r="K231" s="2" t="str">
        <x:v>없음</x:v>
      </x:c>
      <x:c r="L231" s="2" t="str">
        <x:v>없음</x:v>
      </x:c>
      <x:c r="M231" s="2" t="str">
        <x:v>수호천사 암/건강보험</x:v>
      </x:c>
      <x:c r="N231" s="2" t="str">
        <x:f>VLOOKUP(M231,'분류기준'!$A$5:$B$8,2,FALSE)</x:f>
        <x:v>암/건강보험</x:v>
      </x:c>
      <x:c r="O231" s="2" t="str">
        <x:v>수술비 보장 특약</x:v>
      </x:c>
      <x:c r="P231" s="2" t="str">
        <x:f>IF(O231="선택 안함","선택 안함",IF(O231="특약 없음","특약 없음","가입"))</x:f>
        <x:v>가입</x:v>
      </x:c>
      <x:c r="Q231" s="2" t="str">
        <x:f>IF(P231="가입","가입","미가입")</x:f>
        <x:v>가입</x:v>
      </x:c>
    </x:row>
    <x:row r="232" ht="23" customHeight="1">
      <x:c r="A232" s="2" t="str">
        <x:v>C0276</x:v>
      </x:c>
      <x:c r="B232" s="7" t="n">
        <x:v>30</x:v>
      </x:c>
      <x:c r="C232" s="2" t="str">
        <x:f>INT(B232/10)*10&amp;"대"</x:f>
        <x:v>30대</x:v>
      </x:c>
      <x:c r="D232" s="2" t="str">
        <x:v>여성</x:v>
      </x:c>
      <x:c r="E232" s="7" t="n">
        <x:v>3000</x:v>
      </x:c>
      <x:c r="F232" s="7" t="n">
        <x:v>1</x:v>
      </x:c>
      <x:c r="G232" s="2" t="str">
        <x:v>미혼</x:v>
      </x:c>
      <x:c r="H232" s="7" t="n">
        <x:v>0</x:v>
      </x:c>
      <x:c r="I232" s="2" t="str">
        <x:f>IF(H232&lt;3,H232&amp;"명","3명 이상")</x:f>
        <x:v>0명</x:v>
      </x:c>
      <x:c r="J232" s="2" t="str">
        <x:v>비흡연</x:v>
      </x:c>
      <x:c r="K232" s="2" t="str">
        <x:v>없음</x:v>
      </x:c>
      <x:c r="L232" s="2" t="str">
        <x:v>암</x:v>
      </x:c>
      <x:c r="M232" s="2" t="str">
        <x:v>수호천사 암/건강보험</x:v>
      </x:c>
      <x:c r="N232" s="2" t="str">
        <x:f>VLOOKUP(M232,'분류기준'!$A$5:$B$8,2,FALSE)</x:f>
        <x:v>암/건강보험</x:v>
      </x:c>
      <x:c r="O232" s="2" t="str">
        <x:v>표적항암약물허가치료 특약</x:v>
      </x:c>
      <x:c r="P232" s="2" t="str">
        <x:f>IF(O232="선택 안함","선택 안함",IF(O232="특약 없음","특약 없음","가입"))</x:f>
        <x:v>가입</x:v>
      </x:c>
      <x:c r="Q232" s="2" t="str">
        <x:f>IF(P232="가입","가입","미가입")</x:f>
        <x:v>가입</x:v>
      </x:c>
    </x:row>
    <x:row r="233" ht="23" customHeight="1">
      <x:c r="A233" s="2" t="str">
        <x:v>C0522</x:v>
      </x:c>
      <x:c r="B233" s="7" t="n">
        <x:v>30</x:v>
      </x:c>
      <x:c r="C233" s="2" t="str">
        <x:f>INT(B233/10)*10&amp;"대"</x:f>
        <x:v>30대</x:v>
      </x:c>
      <x:c r="D233" s="2" t="str">
        <x:v>남성</x:v>
      </x:c>
      <x:c r="E233" s="7" t="n">
        <x:v>5000</x:v>
      </x:c>
      <x:c r="F233" s="7" t="n">
        <x:v>2</x:v>
      </x:c>
      <x:c r="G233" s="2" t="str">
        <x:v>기혼</x:v>
      </x:c>
      <x:c r="H233" s="7" t="n">
        <x:v>2</x:v>
      </x:c>
      <x:c r="I233" s="2" t="str">
        <x:f>IF(H233&lt;3,H233&amp;"명","3명 이상")</x:f>
        <x:v>2명</x:v>
      </x:c>
      <x:c r="J233" s="2" t="str">
        <x:v>비흡연</x:v>
      </x:c>
      <x:c r="K233" s="2" t="str">
        <x:v>없음</x:v>
      </x:c>
      <x:c r="L233" s="2" t="str">
        <x:v>암</x:v>
      </x:c>
      <x:c r="M233" s="2" t="str">
        <x:v>수호천사 행복 연금보험</x:v>
      </x:c>
      <x:c r="N233" s="2" t="str">
        <x:f>VLOOKUP(M233,'분류기준'!$A$5:$B$8,2,FALSE)</x:f>
        <x:v>연금보험</x:v>
      </x:c>
      <x:c r="O233" s="2" t="str">
        <x:v>특약 없음</x:v>
      </x:c>
      <x:c r="P233" s="2" t="str">
        <x:f>IF(O233="선택 안함","선택 안함",IF(O233="특약 없음","특약 없음","가입"))</x:f>
        <x:v>특약 없음</x:v>
      </x:c>
      <x:c r="Q233" s="2" t="str">
        <x:f>IF(P233="가입","가입","미가입")</x:f>
        <x:v>미가입</x:v>
      </x:c>
    </x:row>
    <x:row r="234" ht="23" customHeight="1">
      <x:c r="A234" s="2" t="str">
        <x:v>C0586</x:v>
      </x:c>
      <x:c r="B234" s="7" t="n">
        <x:v>30</x:v>
      </x:c>
      <x:c r="C234" s="2" t="str">
        <x:f>INT(B234/10)*10&amp;"대"</x:f>
        <x:v>30대</x:v>
      </x:c>
      <x:c r="D234" s="2" t="str">
        <x:v>여성</x:v>
      </x:c>
      <x:c r="E234" s="7" t="n">
        <x:v>5000</x:v>
      </x:c>
      <x:c r="F234" s="7" t="n">
        <x:v>1</x:v>
      </x:c>
      <x:c r="G234" s="2" t="str">
        <x:v>기혼</x:v>
      </x:c>
      <x:c r="H234" s="7" t="n">
        <x:v>2</x:v>
      </x:c>
      <x:c r="I234" s="2" t="str">
        <x:f>IF(H234&lt;3,H234&amp;"명","3명 이상")</x:f>
        <x:v>2명</x:v>
      </x:c>
      <x:c r="J234" s="2" t="str">
        <x:v>비흡연</x:v>
      </x:c>
      <x:c r="K234" s="2" t="str">
        <x:v>없음</x:v>
      </x:c>
      <x:c r="L234" s="2" t="str">
        <x:v>없음</x:v>
      </x:c>
      <x:c r="M234" s="2" t="str">
        <x:v>수호천사 암/건강보험</x:v>
      </x:c>
      <x:c r="N234" s="2" t="str">
        <x:f>VLOOKUP(M234,'분류기준'!$A$5:$B$8,2,FALSE)</x:f>
        <x:v>암/건강보험</x:v>
      </x:c>
      <x:c r="O234" s="2" t="str">
        <x:v>선택 안함</x:v>
      </x:c>
      <x:c r="P234" s="2" t="str">
        <x:f>IF(O234="선택 안함","선택 안함",IF(O234="특약 없음","특약 없음","가입"))</x:f>
        <x:v>선택 안함</x:v>
      </x:c>
      <x:c r="Q234" s="2" t="str">
        <x:f>IF(P234="가입","가입","미가입")</x:f>
        <x:v>미가입</x:v>
      </x:c>
    </x:row>
    <x:row r="235" ht="23" customHeight="1">
      <x:c r="A235" s="2" t="str">
        <x:v>C0651</x:v>
      </x:c>
      <x:c r="B235" s="7" t="n">
        <x:v>30</x:v>
      </x:c>
      <x:c r="C235" s="2" t="str">
        <x:f>INT(B235/10)*10&amp;"대"</x:f>
        <x:v>30대</x:v>
      </x:c>
      <x:c r="D235" s="2" t="str">
        <x:v>남성</x:v>
      </x:c>
      <x:c r="E235" s="7" t="n">
        <x:v>4000</x:v>
      </x:c>
      <x:c r="F235" s="7" t="n">
        <x:v>2</x:v>
      </x:c>
      <x:c r="G235" s="2" t="str">
        <x:v>기혼</x:v>
      </x:c>
      <x:c r="H235" s="7" t="n">
        <x:v>1</x:v>
      </x:c>
      <x:c r="I235" s="2" t="str">
        <x:f>IF(H235&lt;3,H235&amp;"명","3명 이상")</x:f>
        <x:v>1명</x:v>
      </x:c>
      <x:c r="J235" s="2" t="str">
        <x:v>흡연</x:v>
      </x:c>
      <x:c r="K235" s="2" t="str">
        <x:v>없음</x:v>
      </x:c>
      <x:c r="L235" s="2" t="str">
        <x:v>심혈관</x:v>
      </x:c>
      <x:c r="M235" s="2" t="str">
        <x:v>수호천사 우리가족 종신보험</x:v>
      </x:c>
      <x:c r="N235" s="2" t="str">
        <x:f>VLOOKUP(M235,'분류기준'!$A$5:$B$8,2,FALSE)</x:f>
        <x:v>종신보험</x:v>
      </x:c>
      <x:c r="O235" s="2" t="str">
        <x:v>가족 수입 보장 특약</x:v>
      </x:c>
      <x:c r="P235" s="2" t="str">
        <x:f>IF(O235="선택 안함","선택 안함",IF(O235="특약 없음","특약 없음","가입"))</x:f>
        <x:v>가입</x:v>
      </x:c>
      <x:c r="Q235" s="2" t="str">
        <x:f>IF(P235="가입","가입","미가입")</x:f>
        <x:v>가입</x:v>
      </x:c>
    </x:row>
    <x:row r="236" ht="23" customHeight="1">
      <x:c r="A236" s="2" t="str">
        <x:v>C0666</x:v>
      </x:c>
      <x:c r="B236" s="7" t="n">
        <x:v>30</x:v>
      </x:c>
      <x:c r="C236" s="2" t="str">
        <x:f>INT(B236/10)*10&amp;"대"</x:f>
        <x:v>30대</x:v>
      </x:c>
      <x:c r="D236" s="2" t="str">
        <x:v>남성</x:v>
      </x:c>
      <x:c r="E236" s="7" t="n">
        <x:v>4000</x:v>
      </x:c>
      <x:c r="F236" s="7" t="n">
        <x:v>2</x:v>
      </x:c>
      <x:c r="G236" s="2" t="str">
        <x:v>미혼</x:v>
      </x:c>
      <x:c r="H236" s="7" t="n">
        <x:v>0</x:v>
      </x:c>
      <x:c r="I236" s="2" t="str">
        <x:f>IF(H236&lt;3,H236&amp;"명","3명 이상")</x:f>
        <x:v>0명</x:v>
      </x:c>
      <x:c r="J236" s="2" t="str">
        <x:v>비흡연</x:v>
      </x:c>
      <x:c r="K236" s="2" t="str">
        <x:v>없음</x:v>
      </x:c>
      <x:c r="L236" s="2" t="str">
        <x:v>없음</x:v>
      </x:c>
      <x:c r="M236" s="2" t="str">
        <x:v>수호천사 우리가족 종신보험</x:v>
      </x:c>
      <x:c r="N236" s="2" t="str">
        <x:f>VLOOKUP(M236,'분류기준'!$A$5:$B$8,2,FALSE)</x:f>
        <x:v>종신보험</x:v>
      </x:c>
      <x:c r="O236" s="2" t="str">
        <x:v>선택 안함</x:v>
      </x:c>
      <x:c r="P236" s="2" t="str">
        <x:f>IF(O236="선택 안함","선택 안함",IF(O236="특약 없음","특약 없음","가입"))</x:f>
        <x:v>선택 안함</x:v>
      </x:c>
      <x:c r="Q236" s="2" t="str">
        <x:f>IF(P236="가입","가입","미가입")</x:f>
        <x:v>미가입</x:v>
      </x:c>
    </x:row>
    <x:row r="237" ht="23" customHeight="1">
      <x:c r="A237" s="2" t="str">
        <x:v>C0710</x:v>
      </x:c>
      <x:c r="B237" s="7" t="n">
        <x:v>30</x:v>
      </x:c>
      <x:c r="C237" s="2" t="str">
        <x:f>INT(B237/10)*10&amp;"대"</x:f>
        <x:v>30대</x:v>
      </x:c>
      <x:c r="D237" s="2" t="str">
        <x:v>남성</x:v>
      </x:c>
      <x:c r="E237" s="7" t="n">
        <x:v>3000</x:v>
      </x:c>
      <x:c r="F237" s="7" t="n">
        <x:v>2</x:v>
      </x:c>
      <x:c r="G237" s="2" t="str">
        <x:v>기혼</x:v>
      </x:c>
      <x:c r="H237" s="7" t="n">
        <x:v>2</x:v>
      </x:c>
      <x:c r="I237" s="2" t="str">
        <x:f>IF(H237&lt;3,H237&amp;"명","3명 이상")</x:f>
        <x:v>2명</x:v>
      </x:c>
      <x:c r="J237" s="2" t="str">
        <x:v>비흡연</x:v>
      </x:c>
      <x:c r="K237" s="2" t="str">
        <x:v>고혈압</x:v>
      </x:c>
      <x:c r="L237" s="2" t="str">
        <x:v>없음</x:v>
      </x:c>
      <x:c r="M237" s="2" t="str">
        <x:v>수호천사 간편심사(유병자)보험</x:v>
      </x:c>
      <x:c r="N237" s="2" t="str">
        <x:f>VLOOKUP(M237,'분류기준'!$A$5:$B$8,2,FALSE)</x:f>
        <x:v>간편심사보험</x:v>
      </x:c>
      <x:c r="O237" s="2" t="str">
        <x:v>중증질환 산정특례 보장 특약</x:v>
      </x:c>
      <x:c r="P237" s="2" t="str">
        <x:f>IF(O237="선택 안함","선택 안함",IF(O237="특약 없음","특약 없음","가입"))</x:f>
        <x:v>가입</x:v>
      </x:c>
      <x:c r="Q237" s="2" t="str">
        <x:f>IF(P237="가입","가입","미가입")</x:f>
        <x:v>가입</x:v>
      </x:c>
    </x:row>
    <x:row r="238" ht="23" customHeight="1">
      <x:c r="A238" s="2" t="str">
        <x:v>C0770</x:v>
      </x:c>
      <x:c r="B238" s="7" t="n">
        <x:v>30</x:v>
      </x:c>
      <x:c r="C238" s="2" t="str">
        <x:f>INT(B238/10)*10&amp;"대"</x:f>
        <x:v>30대</x:v>
      </x:c>
      <x:c r="D238" s="2" t="str">
        <x:v>남성</x:v>
      </x:c>
      <x:c r="E238" s="7" t="n">
        <x:v>4000</x:v>
      </x:c>
      <x:c r="F238" s="7" t="n">
        <x:v>1</x:v>
      </x:c>
      <x:c r="G238" s="2" t="str">
        <x:v>기혼</x:v>
      </x:c>
      <x:c r="H238" s="7" t="n">
        <x:v>2</x:v>
      </x:c>
      <x:c r="I238" s="2" t="str">
        <x:f>IF(H238&lt;3,H238&amp;"명","3명 이상")</x:f>
        <x:v>2명</x:v>
      </x:c>
      <x:c r="J238" s="2" t="str">
        <x:v>비흡연</x:v>
      </x:c>
      <x:c r="K238" s="2" t="str">
        <x:v>없음</x:v>
      </x:c>
      <x:c r="L238" s="2" t="str">
        <x:v>없음</x:v>
      </x:c>
      <x:c r="M238" s="2" t="str">
        <x:v>수호천사 간편심사(유병자)보험</x:v>
      </x:c>
      <x:c r="N238" s="2" t="str">
        <x:f>VLOOKUP(M238,'분류기준'!$A$5:$B$8,2,FALSE)</x:f>
        <x:v>간편심사보험</x:v>
      </x:c>
      <x:c r="O238" s="2" t="str">
        <x:v>중증질환 산정특례 보장 특약</x:v>
      </x:c>
      <x:c r="P238" s="2" t="str">
        <x:f>IF(O238="선택 안함","선택 안함",IF(O238="특약 없음","특약 없음","가입"))</x:f>
        <x:v>가입</x:v>
      </x:c>
      <x:c r="Q238" s="2" t="str">
        <x:f>IF(P238="가입","가입","미가입")</x:f>
        <x:v>가입</x:v>
      </x:c>
    </x:row>
    <x:row r="239" ht="23" customHeight="1">
      <x:c r="A239" s="2" t="str">
        <x:v>C0804</x:v>
      </x:c>
      <x:c r="B239" s="7" t="n">
        <x:v>30</x:v>
      </x:c>
      <x:c r="C239" s="2" t="str">
        <x:f>INT(B239/10)*10&amp;"대"</x:f>
        <x:v>30대</x:v>
      </x:c>
      <x:c r="D239" s="2" t="str">
        <x:v>여성</x:v>
      </x:c>
      <x:c r="E239" s="7" t="n">
        <x:v>5000</x:v>
      </x:c>
      <x:c r="F239" s="7" t="n">
        <x:v>3</x:v>
      </x:c>
      <x:c r="G239" s="2" t="str">
        <x:v>기혼</x:v>
      </x:c>
      <x:c r="H239" s="7" t="n">
        <x:v>2</x:v>
      </x:c>
      <x:c r="I239" s="2" t="str">
        <x:f>IF(H239&lt;3,H239&amp;"명","3명 이상")</x:f>
        <x:v>2명</x:v>
      </x:c>
      <x:c r="J239" s="2" t="str">
        <x:v>비흡연</x:v>
      </x:c>
      <x:c r="K239" s="2" t="str">
        <x:v>없음</x:v>
      </x:c>
      <x:c r="L239" s="2" t="str">
        <x:v>심혈관</x:v>
      </x:c>
      <x:c r="M239" s="2" t="str">
        <x:v>수호천사 암/건강보험</x:v>
      </x:c>
      <x:c r="N239" s="2" t="str">
        <x:f>VLOOKUP(M239,'분류기준'!$A$5:$B$8,2,FALSE)</x:f>
        <x:v>암/건강보험</x:v>
      </x:c>
      <x:c r="O239" s="2" t="str">
        <x:v>표적항암약물허가치료 특약</x:v>
      </x:c>
      <x:c r="P239" s="2" t="str">
        <x:f>IF(O239="선택 안함","선택 안함",IF(O239="특약 없음","특약 없음","가입"))</x:f>
        <x:v>가입</x:v>
      </x:c>
      <x:c r="Q239" s="2" t="str">
        <x:f>IF(P239="가입","가입","미가입")</x:f>
        <x:v>가입</x:v>
      </x:c>
    </x:row>
    <x:row r="240" ht="23" customHeight="1">
      <x:c r="A240" s="2" t="str">
        <x:v>C0808</x:v>
      </x:c>
      <x:c r="B240" s="7" t="n">
        <x:v>30</x:v>
      </x:c>
      <x:c r="C240" s="2" t="str">
        <x:f>INT(B240/10)*10&amp;"대"</x:f>
        <x:v>30대</x:v>
      </x:c>
      <x:c r="D240" s="2" t="str">
        <x:v>남성</x:v>
      </x:c>
      <x:c r="E240" s="7" t="n">
        <x:v>12000</x:v>
      </x:c>
      <x:c r="F240" s="7" t="n">
        <x:v>1</x:v>
      </x:c>
      <x:c r="G240" s="2" t="str">
        <x:v>기혼</x:v>
      </x:c>
      <x:c r="H240" s="7" t="n">
        <x:v>0</x:v>
      </x:c>
      <x:c r="I240" s="2" t="str">
        <x:f>IF(H240&lt;3,H240&amp;"명","3명 이상")</x:f>
        <x:v>0명</x:v>
      </x:c>
      <x:c r="J240" s="2" t="str">
        <x:v>비흡연</x:v>
      </x:c>
      <x:c r="K240" s="2" t="str">
        <x:v>없음</x:v>
      </x:c>
      <x:c r="L240" s="2" t="str">
        <x:v>암</x:v>
      </x:c>
      <x:c r="M240" s="2" t="str">
        <x:v>수호천사 암/건강보험</x:v>
      </x:c>
      <x:c r="N240" s="2" t="str">
        <x:f>VLOOKUP(M240,'분류기준'!$A$5:$B$8,2,FALSE)</x:f>
        <x:v>암/건강보험</x:v>
      </x:c>
      <x:c r="O240" s="2" t="str">
        <x:v>수술비 보장 특약</x:v>
      </x:c>
      <x:c r="P240" s="2" t="str">
        <x:f>IF(O240="선택 안함","선택 안함",IF(O240="특약 없음","특약 없음","가입"))</x:f>
        <x:v>가입</x:v>
      </x:c>
      <x:c r="Q240" s="2" t="str">
        <x:f>IF(P240="가입","가입","미가입")</x:f>
        <x:v>가입</x:v>
      </x:c>
    </x:row>
    <x:row r="241" ht="23" customHeight="1">
      <x:c r="A241" s="2" t="str">
        <x:v>C0918</x:v>
      </x:c>
      <x:c r="B241" s="7" t="n">
        <x:v>30</x:v>
      </x:c>
      <x:c r="C241" s="2" t="str">
        <x:f>INT(B241/10)*10&amp;"대"</x:f>
        <x:v>30대</x:v>
      </x:c>
      <x:c r="D241" s="2" t="str">
        <x:v>남성</x:v>
      </x:c>
      <x:c r="E241" s="7" t="n">
        <x:v>4000</x:v>
      </x:c>
      <x:c r="F241" s="7" t="n">
        <x:v>2</x:v>
      </x:c>
      <x:c r="G241" s="2" t="str">
        <x:v>기혼</x:v>
      </x:c>
      <x:c r="H241" s="7" t="n">
        <x:v>3</x:v>
      </x:c>
      <x:c r="I241" s="2" t="str">
        <x:f>IF(H241&lt;3,H241&amp;"명","3명 이상")</x:f>
        <x:v>3명 이상</x:v>
      </x:c>
      <x:c r="J241" s="2" t="str">
        <x:v>비흡연</x:v>
      </x:c>
      <x:c r="K241" s="2" t="str">
        <x:v>없음</x:v>
      </x:c>
      <x:c r="L241" s="2" t="str">
        <x:v>암</x:v>
      </x:c>
      <x:c r="M241" s="2" t="str">
        <x:v>수호천사 행복 연금보험</x:v>
      </x:c>
      <x:c r="N241" s="2" t="str">
        <x:f>VLOOKUP(M241,'분류기준'!$A$5:$B$8,2,FALSE)</x:f>
        <x:v>연금보험</x:v>
      </x:c>
      <x:c r="O241" s="2" t="str">
        <x:v>특약 없음</x:v>
      </x:c>
      <x:c r="P241" s="2" t="str">
        <x:f>IF(O241="선택 안함","선택 안함",IF(O241="특약 없음","특약 없음","가입"))</x:f>
        <x:v>특약 없음</x:v>
      </x:c>
      <x:c r="Q241" s="2" t="str">
        <x:f>IF(P241="가입","가입","미가입")</x:f>
        <x:v>미가입</x:v>
      </x:c>
    </x:row>
    <x:row r="242" ht="23" customHeight="1">
      <x:c r="A242" s="2" t="str">
        <x:v>C0934</x:v>
      </x:c>
      <x:c r="B242" s="7" t="n">
        <x:v>30</x:v>
      </x:c>
      <x:c r="C242" s="2" t="str">
        <x:f>INT(B242/10)*10&amp;"대"</x:f>
        <x:v>30대</x:v>
      </x:c>
      <x:c r="D242" s="2" t="str">
        <x:v>여성</x:v>
      </x:c>
      <x:c r="E242" s="7" t="n">
        <x:v>4000</x:v>
      </x:c>
      <x:c r="F242" s="7" t="n">
        <x:v>1</x:v>
      </x:c>
      <x:c r="G242" s="2" t="str">
        <x:v>미혼</x:v>
      </x:c>
      <x:c r="H242" s="7" t="n">
        <x:v>0</x:v>
      </x:c>
      <x:c r="I242" s="2" t="str">
        <x:f>IF(H242&lt;3,H242&amp;"명","3명 이상")</x:f>
        <x:v>0명</x:v>
      </x:c>
      <x:c r="J242" s="2" t="str">
        <x:v>비흡연</x:v>
      </x:c>
      <x:c r="K242" s="2" t="str">
        <x:v>없음</x:v>
      </x:c>
      <x:c r="L242" s="2" t="str">
        <x:v>심혈관</x:v>
      </x:c>
      <x:c r="M242" s="2" t="str">
        <x:v>수호천사 암/건강보험</x:v>
      </x:c>
      <x:c r="N242" s="2" t="str">
        <x:f>VLOOKUP(M242,'분류기준'!$A$5:$B$8,2,FALSE)</x:f>
        <x:v>암/건강보험</x:v>
      </x:c>
      <x:c r="O242" s="2" t="str">
        <x:v>표적항암약물허가치료 특약</x:v>
      </x:c>
      <x:c r="P242" s="2" t="str">
        <x:f>IF(O242="선택 안함","선택 안함",IF(O242="특약 없음","특약 없음","가입"))</x:f>
        <x:v>가입</x:v>
      </x:c>
      <x:c r="Q242" s="2" t="str">
        <x:f>IF(P242="가입","가입","미가입")</x:f>
        <x:v>가입</x:v>
      </x:c>
    </x:row>
    <x:row r="243" ht="23" customHeight="1">
      <x:c r="A243" s="2" t="str">
        <x:v>C0942</x:v>
      </x:c>
      <x:c r="B243" s="7" t="n">
        <x:v>30</x:v>
      </x:c>
      <x:c r="C243" s="2" t="str">
        <x:f>INT(B243/10)*10&amp;"대"</x:f>
        <x:v>30대</x:v>
      </x:c>
      <x:c r="D243" s="2" t="str">
        <x:v>여성</x:v>
      </x:c>
      <x:c r="E243" s="7" t="n">
        <x:v>3000</x:v>
      </x:c>
      <x:c r="F243" s="7" t="n">
        <x:v>2</x:v>
      </x:c>
      <x:c r="G243" s="2" t="str">
        <x:v>기혼</x:v>
      </x:c>
      <x:c r="H243" s="7" t="n">
        <x:v>0</x:v>
      </x:c>
      <x:c r="I243" s="2" t="str">
        <x:f>IF(H243&lt;3,H243&amp;"명","3명 이상")</x:f>
        <x:v>0명</x:v>
      </x:c>
      <x:c r="J243" s="2" t="str">
        <x:v>비흡연</x:v>
      </x:c>
      <x:c r="K243" s="2" t="str">
        <x:v>없음</x:v>
      </x:c>
      <x:c r="L243" s="2" t="str">
        <x:v>없음</x:v>
      </x:c>
      <x:c r="M243" s="2" t="str">
        <x:v>수호천사 간편심사(유병자)보험</x:v>
      </x:c>
      <x:c r="N243" s="2" t="str">
        <x:f>VLOOKUP(M243,'분류기준'!$A$5:$B$8,2,FALSE)</x:f>
        <x:v>간편심사보험</x:v>
      </x:c>
      <x:c r="O243" s="2" t="str">
        <x:v>중증질환 산정특례 보장 특약</x:v>
      </x:c>
      <x:c r="P243" s="2" t="str">
        <x:f>IF(O243="선택 안함","선택 안함",IF(O243="특약 없음","특약 없음","가입"))</x:f>
        <x:v>가입</x:v>
      </x:c>
      <x:c r="Q243" s="2" t="str">
        <x:f>IF(P243="가입","가입","미가입")</x:f>
        <x:v>가입</x:v>
      </x:c>
    </x:row>
    <x:row r="244" ht="23" customHeight="1">
      <x:c r="A244" s="2" t="str">
        <x:v>C0961</x:v>
      </x:c>
      <x:c r="B244" s="7" t="n">
        <x:v>30</x:v>
      </x:c>
      <x:c r="C244" s="2" t="str">
        <x:f>INT(B244/10)*10&amp;"대"</x:f>
        <x:v>30대</x:v>
      </x:c>
      <x:c r="D244" s="2" t="str">
        <x:v>여성</x:v>
      </x:c>
      <x:c r="E244" s="7" t="n">
        <x:v>9000</x:v>
      </x:c>
      <x:c r="F244" s="7" t="n">
        <x:v>1</x:v>
      </x:c>
      <x:c r="G244" s="2" t="str">
        <x:v>기혼</x:v>
      </x:c>
      <x:c r="H244" s="7" t="n">
        <x:v>1</x:v>
      </x:c>
      <x:c r="I244" s="2" t="str">
        <x:f>IF(H244&lt;3,H244&amp;"명","3명 이상")</x:f>
        <x:v>1명</x:v>
      </x:c>
      <x:c r="J244" s="2" t="str">
        <x:v>비흡연</x:v>
      </x:c>
      <x:c r="K244" s="2" t="str">
        <x:v>없음</x:v>
      </x:c>
      <x:c r="L244" s="2" t="str">
        <x:v>암</x:v>
      </x:c>
      <x:c r="M244" s="2" t="str">
        <x:v>수호천사 간편심사(유병자)보험</x:v>
      </x:c>
      <x:c r="N244" s="2" t="str">
        <x:f>VLOOKUP(M244,'분류기준'!$A$5:$B$8,2,FALSE)</x:f>
        <x:v>간편심사보험</x:v>
      </x:c>
      <x:c r="O244" s="2" t="str">
        <x:v>중증질환 산정특례 보장 특약</x:v>
      </x:c>
      <x:c r="P244" s="2" t="str">
        <x:f>IF(O244="선택 안함","선택 안함",IF(O244="특약 없음","특약 없음","가입"))</x:f>
        <x:v>가입</x:v>
      </x:c>
      <x:c r="Q244" s="2" t="str">
        <x:f>IF(P244="가입","가입","미가입")</x:f>
        <x:v>가입</x:v>
      </x:c>
    </x:row>
    <x:row r="245" ht="23" customHeight="1">
      <x:c r="A245" s="2" t="str">
        <x:v>C0983</x:v>
      </x:c>
      <x:c r="B245" s="7" t="n">
        <x:v>30</x:v>
      </x:c>
      <x:c r="C245" s="2" t="str">
        <x:f>INT(B245/10)*10&amp;"대"</x:f>
        <x:v>30대</x:v>
      </x:c>
      <x:c r="D245" s="2" t="str">
        <x:v>여성</x:v>
      </x:c>
      <x:c r="E245" s="7" t="n">
        <x:v>4000</x:v>
      </x:c>
      <x:c r="F245" s="7" t="n">
        <x:v>1</x:v>
      </x:c>
      <x:c r="G245" s="2" t="str">
        <x:v>미혼</x:v>
      </x:c>
      <x:c r="H245" s="7" t="n">
        <x:v>0</x:v>
      </x:c>
      <x:c r="I245" s="2" t="str">
        <x:f>IF(H245&lt;3,H245&amp;"명","3명 이상")</x:f>
        <x:v>0명</x:v>
      </x:c>
      <x:c r="J245" s="2" t="str">
        <x:v>비흡연</x:v>
      </x:c>
      <x:c r="K245" s="2" t="str">
        <x:v>없음</x:v>
      </x:c>
      <x:c r="L245" s="2" t="str">
        <x:v>없음</x:v>
      </x:c>
      <x:c r="M245" s="2" t="str">
        <x:v>수호천사 행복 연금보험</x:v>
      </x:c>
      <x:c r="N245" s="2" t="str">
        <x:f>VLOOKUP(M245,'분류기준'!$A$5:$B$8,2,FALSE)</x:f>
        <x:v>연금보험</x:v>
      </x:c>
      <x:c r="O245" s="2" t="str">
        <x:v>특약 없음</x:v>
      </x:c>
      <x:c r="P245" s="2" t="str">
        <x:f>IF(O245="선택 안함","선택 안함",IF(O245="특약 없음","특약 없음","가입"))</x:f>
        <x:v>특약 없음</x:v>
      </x:c>
      <x:c r="Q245" s="2" t="str">
        <x:f>IF(P245="가입","가입","미가입")</x:f>
        <x:v>미가입</x:v>
      </x:c>
    </x:row>
    <x:row r="246" ht="23" customHeight="1">
      <x:c r="A246" s="2" t="str">
        <x:v>C0993</x:v>
      </x:c>
      <x:c r="B246" s="7" t="n">
        <x:v>30</x:v>
      </x:c>
      <x:c r="C246" s="2" t="str">
        <x:f>INT(B246/10)*10&amp;"대"</x:f>
        <x:v>30대</x:v>
      </x:c>
      <x:c r="D246" s="2" t="str">
        <x:v>여성</x:v>
      </x:c>
      <x:c r="E246" s="7" t="n">
        <x:v>6000</x:v>
      </x:c>
      <x:c r="F246" s="7" t="n">
        <x:v>1</x:v>
      </x:c>
      <x:c r="G246" s="2" t="str">
        <x:v>미혼</x:v>
      </x:c>
      <x:c r="H246" s="7" t="n">
        <x:v>0</x:v>
      </x:c>
      <x:c r="I246" s="2" t="str">
        <x:f>IF(H246&lt;3,H246&amp;"명","3명 이상")</x:f>
        <x:v>0명</x:v>
      </x:c>
      <x:c r="J246" s="2" t="str">
        <x:v>비흡연</x:v>
      </x:c>
      <x:c r="K246" s="2" t="str">
        <x:v>없음</x:v>
      </x:c>
      <x:c r="L246" s="2" t="str">
        <x:v>암</x:v>
      </x:c>
      <x:c r="M246" s="2" t="str">
        <x:v>수호천사 암/건강보험</x:v>
      </x:c>
      <x:c r="N246" s="2" t="str">
        <x:f>VLOOKUP(M246,'분류기준'!$A$5:$B$8,2,FALSE)</x:f>
        <x:v>암/건강보험</x:v>
      </x:c>
      <x:c r="O246" s="2" t="str">
        <x:v>표적항암약물허가치료 특약</x:v>
      </x:c>
      <x:c r="P246" s="2" t="str">
        <x:f>IF(O246="선택 안함","선택 안함",IF(O246="특약 없음","특약 없음","가입"))</x:f>
        <x:v>가입</x:v>
      </x:c>
      <x:c r="Q246" s="2" t="str">
        <x:f>IF(P246="가입","가입","미가입")</x:f>
        <x:v>가입</x:v>
      </x:c>
    </x:row>
    <x:row r="247" ht="23" customHeight="1">
      <x:c r="A247" s="2" t="str">
        <x:v>C0026</x:v>
      </x:c>
      <x:c r="B247" s="7" t="n">
        <x:v>31</x:v>
      </x:c>
      <x:c r="C247" s="2" t="str">
        <x:f>INT(B247/10)*10&amp;"대"</x:f>
        <x:v>30대</x:v>
      </x:c>
      <x:c r="D247" s="2" t="str">
        <x:v>남성</x:v>
      </x:c>
      <x:c r="E247" s="7" t="n">
        <x:v>6000</x:v>
      </x:c>
      <x:c r="F247" s="7" t="n">
        <x:v>1</x:v>
      </x:c>
      <x:c r="G247" s="2" t="str">
        <x:v>기혼</x:v>
      </x:c>
      <x:c r="H247" s="7" t="n">
        <x:v>2</x:v>
      </x:c>
      <x:c r="I247" s="2" t="str">
        <x:f>IF(H247&lt;3,H247&amp;"명","3명 이상")</x:f>
        <x:v>2명</x:v>
      </x:c>
      <x:c r="J247" s="2" t="str">
        <x:v>비흡연</x:v>
      </x:c>
      <x:c r="K247" s="2" t="str">
        <x:v>없음</x:v>
      </x:c>
      <x:c r="L247" s="2" t="str">
        <x:v>없음</x:v>
      </x:c>
      <x:c r="M247" s="2" t="str">
        <x:v>수호천사 암/건강보험</x:v>
      </x:c>
      <x:c r="N247" s="2" t="str">
        <x:f>VLOOKUP(M247,'분류기준'!$A$5:$B$8,2,FALSE)</x:f>
        <x:v>암/건강보험</x:v>
      </x:c>
      <x:c r="O247" s="2" t="str">
        <x:v>수술비 보장 특약</x:v>
      </x:c>
      <x:c r="P247" s="2" t="str">
        <x:f>IF(O247="선택 안함","선택 안함",IF(O247="특약 없음","특약 없음","가입"))</x:f>
        <x:v>가입</x:v>
      </x:c>
      <x:c r="Q247" s="2" t="str">
        <x:f>IF(P247="가입","가입","미가입")</x:f>
        <x:v>가입</x:v>
      </x:c>
    </x:row>
    <x:row r="248" ht="23" customHeight="1">
      <x:c r="A248" s="2" t="str">
        <x:v>C0113</x:v>
      </x:c>
      <x:c r="B248" s="7" t="n">
        <x:v>31</x:v>
      </x:c>
      <x:c r="C248" s="2" t="str">
        <x:f>INT(B248/10)*10&amp;"대"</x:f>
        <x:v>30대</x:v>
      </x:c>
      <x:c r="D248" s="2" t="str">
        <x:v>남성</x:v>
      </x:c>
      <x:c r="E248" s="7" t="n">
        <x:v>3000</x:v>
      </x:c>
      <x:c r="F248" s="7" t="n">
        <x:v>3</x:v>
      </x:c>
      <x:c r="G248" s="2" t="str">
        <x:v>기혼</x:v>
      </x:c>
      <x:c r="H248" s="7" t="n">
        <x:v>1</x:v>
      </x:c>
      <x:c r="I248" s="2" t="str">
        <x:f>IF(H248&lt;3,H248&amp;"명","3명 이상")</x:f>
        <x:v>1명</x:v>
      </x:c>
      <x:c r="J248" s="2" t="str">
        <x:v>비흡연</x:v>
      </x:c>
      <x:c r="K248" s="2" t="str">
        <x:v>고혈압</x:v>
      </x:c>
      <x:c r="L248" s="2" t="str">
        <x:v>없음</x:v>
      </x:c>
      <x:c r="M248" s="2" t="str">
        <x:v>수호천사 간편심사(유병자)보험</x:v>
      </x:c>
      <x:c r="N248" s="2" t="str">
        <x:f>VLOOKUP(M248,'분류기준'!$A$5:$B$8,2,FALSE)</x:f>
        <x:v>간편심사보험</x:v>
      </x:c>
      <x:c r="O248" s="2" t="str">
        <x:v>중증질환 산정특례 보장 특약</x:v>
      </x:c>
      <x:c r="P248" s="2" t="str">
        <x:f>IF(O248="선택 안함","선택 안함",IF(O248="특약 없음","특약 없음","가입"))</x:f>
        <x:v>가입</x:v>
      </x:c>
      <x:c r="Q248" s="2" t="str">
        <x:f>IF(P248="가입","가입","미가입")</x:f>
        <x:v>가입</x:v>
      </x:c>
    </x:row>
    <x:row r="249" ht="23" customHeight="1">
      <x:c r="A249" s="2" t="str">
        <x:v>C0195</x:v>
      </x:c>
      <x:c r="B249" s="7" t="n">
        <x:v>31</x:v>
      </x:c>
      <x:c r="C249" s="2" t="str">
        <x:f>INT(B249/10)*10&amp;"대"</x:f>
        <x:v>30대</x:v>
      </x:c>
      <x:c r="D249" s="2" t="str">
        <x:v>여성</x:v>
      </x:c>
      <x:c r="E249" s="7" t="n">
        <x:v>3000</x:v>
      </x:c>
      <x:c r="F249" s="7" t="n">
        <x:v>2</x:v>
      </x:c>
      <x:c r="G249" s="2" t="str">
        <x:v>기혼</x:v>
      </x:c>
      <x:c r="H249" s="7" t="n">
        <x:v>2</x:v>
      </x:c>
      <x:c r="I249" s="2" t="str">
        <x:f>IF(H249&lt;3,H249&amp;"명","3명 이상")</x:f>
        <x:v>2명</x:v>
      </x:c>
      <x:c r="J249" s="2" t="str">
        <x:v>비흡연</x:v>
      </x:c>
      <x:c r="K249" s="2" t="str">
        <x:v>없음</x:v>
      </x:c>
      <x:c r="L249" s="2" t="str">
        <x:v>암</x:v>
      </x:c>
      <x:c r="M249" s="2" t="str">
        <x:v>수호천사 암/건강보험</x:v>
      </x:c>
      <x:c r="N249" s="2" t="str">
        <x:f>VLOOKUP(M249,'분류기준'!$A$5:$B$8,2,FALSE)</x:f>
        <x:v>암/건강보험</x:v>
      </x:c>
      <x:c r="O249" s="2" t="str">
        <x:v>표적항암약물허가치료 특약</x:v>
      </x:c>
      <x:c r="P249" s="2" t="str">
        <x:f>IF(O249="선택 안함","선택 안함",IF(O249="특약 없음","특약 없음","가입"))</x:f>
        <x:v>가입</x:v>
      </x:c>
      <x:c r="Q249" s="2" t="str">
        <x:f>IF(P249="가입","가입","미가입")</x:f>
        <x:v>가입</x:v>
      </x:c>
    </x:row>
    <x:row r="250" ht="23" customHeight="1">
      <x:c r="A250" s="2" t="str">
        <x:v>C0262</x:v>
      </x:c>
      <x:c r="B250" s="7" t="n">
        <x:v>31</x:v>
      </x:c>
      <x:c r="C250" s="2" t="str">
        <x:f>INT(B250/10)*10&amp;"대"</x:f>
        <x:v>30대</x:v>
      </x:c>
      <x:c r="D250" s="2" t="str">
        <x:v>남성</x:v>
      </x:c>
      <x:c r="E250" s="7" t="n">
        <x:v>5000</x:v>
      </x:c>
      <x:c r="F250" s="7" t="n">
        <x:v>1</x:v>
      </x:c>
      <x:c r="G250" s="2" t="str">
        <x:v>기혼</x:v>
      </x:c>
      <x:c r="H250" s="7" t="n">
        <x:v>1</x:v>
      </x:c>
      <x:c r="I250" s="2" t="str">
        <x:f>IF(H250&lt;3,H250&amp;"명","3명 이상")</x:f>
        <x:v>1명</x:v>
      </x:c>
      <x:c r="J250" s="2" t="str">
        <x:v>비흡연</x:v>
      </x:c>
      <x:c r="K250" s="2" t="str">
        <x:v>없음</x:v>
      </x:c>
      <x:c r="L250" s="2" t="str">
        <x:v>없음</x:v>
      </x:c>
      <x:c r="M250" s="2" t="str">
        <x:v>수호천사 간편심사(유병자)보험</x:v>
      </x:c>
      <x:c r="N250" s="2" t="str">
        <x:f>VLOOKUP(M250,'분류기준'!$A$5:$B$8,2,FALSE)</x:f>
        <x:v>간편심사보험</x:v>
      </x:c>
      <x:c r="O250" s="2" t="str">
        <x:v>선택 안함</x:v>
      </x:c>
      <x:c r="P250" s="2" t="str">
        <x:f>IF(O250="선택 안함","선택 안함",IF(O250="특약 없음","특약 없음","가입"))</x:f>
        <x:v>선택 안함</x:v>
      </x:c>
      <x:c r="Q250" s="2" t="str">
        <x:f>IF(P250="가입","가입","미가입")</x:f>
        <x:v>미가입</x:v>
      </x:c>
    </x:row>
    <x:row r="251" ht="23" customHeight="1">
      <x:c r="A251" s="2" t="str">
        <x:v>C0306</x:v>
      </x:c>
      <x:c r="B251" s="7" t="n">
        <x:v>31</x:v>
      </x:c>
      <x:c r="C251" s="2" t="str">
        <x:f>INT(B251/10)*10&amp;"대"</x:f>
        <x:v>30대</x:v>
      </x:c>
      <x:c r="D251" s="2" t="str">
        <x:v>여성</x:v>
      </x:c>
      <x:c r="E251" s="7" t="n">
        <x:v>3000</x:v>
      </x:c>
      <x:c r="F251" s="7" t="n">
        <x:v>2</x:v>
      </x:c>
      <x:c r="G251" s="2" t="str">
        <x:v>미혼</x:v>
      </x:c>
      <x:c r="H251" s="7" t="n">
        <x:v>0</x:v>
      </x:c>
      <x:c r="I251" s="2" t="str">
        <x:f>IF(H251&lt;3,H251&amp;"명","3명 이상")</x:f>
        <x:v>0명</x:v>
      </x:c>
      <x:c r="J251" s="2" t="str">
        <x:v>비흡연</x:v>
      </x:c>
      <x:c r="K251" s="2" t="str">
        <x:v>없음</x:v>
      </x:c>
      <x:c r="L251" s="2" t="str">
        <x:v>없음</x:v>
      </x:c>
      <x:c r="M251" s="2" t="str">
        <x:v>수호천사 암/건강보험</x:v>
      </x:c>
      <x:c r="N251" s="2" t="str">
        <x:f>VLOOKUP(M251,'분류기준'!$A$5:$B$8,2,FALSE)</x:f>
        <x:v>암/건강보험</x:v>
      </x:c>
      <x:c r="O251" s="2" t="str">
        <x:v>수술비 보장 특약</x:v>
      </x:c>
      <x:c r="P251" s="2" t="str">
        <x:f>IF(O251="선택 안함","선택 안함",IF(O251="특약 없음","특약 없음","가입"))</x:f>
        <x:v>가입</x:v>
      </x:c>
      <x:c r="Q251" s="2" t="str">
        <x:f>IF(P251="가입","가입","미가입")</x:f>
        <x:v>가입</x:v>
      </x:c>
    </x:row>
    <x:row r="252" ht="23" customHeight="1">
      <x:c r="A252" s="2" t="str">
        <x:v>C0386</x:v>
      </x:c>
      <x:c r="B252" s="7" t="n">
        <x:v>31</x:v>
      </x:c>
      <x:c r="C252" s="2" t="str">
        <x:f>INT(B252/10)*10&amp;"대"</x:f>
        <x:v>30대</x:v>
      </x:c>
      <x:c r="D252" s="2" t="str">
        <x:v>여성</x:v>
      </x:c>
      <x:c r="E252" s="7" t="n">
        <x:v>3000</x:v>
      </x:c>
      <x:c r="F252" s="7" t="n">
        <x:v>1</x:v>
      </x:c>
      <x:c r="G252" s="2" t="str">
        <x:v>미혼</x:v>
      </x:c>
      <x:c r="H252" s="7" t="n">
        <x:v>0</x:v>
      </x:c>
      <x:c r="I252" s="2" t="str">
        <x:f>IF(H252&lt;3,H252&amp;"명","3명 이상")</x:f>
        <x:v>0명</x:v>
      </x:c>
      <x:c r="J252" s="2" t="str">
        <x:v>비흡연</x:v>
      </x:c>
      <x:c r="K252" s="2" t="str">
        <x:v>없음</x:v>
      </x:c>
      <x:c r="L252" s="2" t="str">
        <x:v>암</x:v>
      </x:c>
      <x:c r="M252" s="2" t="str">
        <x:v>수호천사 간편심사(유병자)보험</x:v>
      </x:c>
      <x:c r="N252" s="2" t="str">
        <x:f>VLOOKUP(M252,'분류기준'!$A$5:$B$8,2,FALSE)</x:f>
        <x:v>간편심사보험</x:v>
      </x:c>
      <x:c r="O252" s="2" t="str">
        <x:v>중증질환 산정특례 보장 특약</x:v>
      </x:c>
      <x:c r="P252" s="2" t="str">
        <x:f>IF(O252="선택 안함","선택 안함",IF(O252="특약 없음","특약 없음","가입"))</x:f>
        <x:v>가입</x:v>
      </x:c>
      <x:c r="Q252" s="2" t="str">
        <x:f>IF(P252="가입","가입","미가입")</x:f>
        <x:v>가입</x:v>
      </x:c>
    </x:row>
    <x:row r="253" ht="23" customHeight="1">
      <x:c r="A253" s="2" t="str">
        <x:v>C0429</x:v>
      </x:c>
      <x:c r="B253" s="7" t="n">
        <x:v>31</x:v>
      </x:c>
      <x:c r="C253" s="2" t="str">
        <x:f>INT(B253/10)*10&amp;"대"</x:f>
        <x:v>30대</x:v>
      </x:c>
      <x:c r="D253" s="2" t="str">
        <x:v>남성</x:v>
      </x:c>
      <x:c r="E253" s="7" t="n">
        <x:v>4000</x:v>
      </x:c>
      <x:c r="F253" s="7" t="n">
        <x:v>1</x:v>
      </x:c>
      <x:c r="G253" s="2" t="str">
        <x:v>기혼</x:v>
      </x:c>
      <x:c r="H253" s="7" t="n">
        <x:v>2</x:v>
      </x:c>
      <x:c r="I253" s="2" t="str">
        <x:f>IF(H253&lt;3,H253&amp;"명","3명 이상")</x:f>
        <x:v>2명</x:v>
      </x:c>
      <x:c r="J253" s="2" t="str">
        <x:v>비흡연</x:v>
      </x:c>
      <x:c r="K253" s="2" t="str">
        <x:v>없음</x:v>
      </x:c>
      <x:c r="L253" s="2" t="str">
        <x:v>없음</x:v>
      </x:c>
      <x:c r="M253" s="2" t="str">
        <x:v>수호천사 간편심사(유병자)보험</x:v>
      </x:c>
      <x:c r="N253" s="2" t="str">
        <x:f>VLOOKUP(M253,'분류기준'!$A$5:$B$8,2,FALSE)</x:f>
        <x:v>간편심사보험</x:v>
      </x:c>
      <x:c r="O253" s="2" t="str">
        <x:v>중증질환 산정특례 보장 특약</x:v>
      </x:c>
      <x:c r="P253" s="2" t="str">
        <x:f>IF(O253="선택 안함","선택 안함",IF(O253="특약 없음","특약 없음","가입"))</x:f>
        <x:v>가입</x:v>
      </x:c>
      <x:c r="Q253" s="2" t="str">
        <x:f>IF(P253="가입","가입","미가입")</x:f>
        <x:v>가입</x:v>
      </x:c>
    </x:row>
    <x:row r="254" ht="23" customHeight="1">
      <x:c r="A254" s="2" t="str">
        <x:v>C0444</x:v>
      </x:c>
      <x:c r="B254" s="7" t="n">
        <x:v>31</x:v>
      </x:c>
      <x:c r="C254" s="2" t="str">
        <x:f>INT(B254/10)*10&amp;"대"</x:f>
        <x:v>30대</x:v>
      </x:c>
      <x:c r="D254" s="2" t="str">
        <x:v>여성</x:v>
      </x:c>
      <x:c r="E254" s="7" t="n">
        <x:v>3000</x:v>
      </x:c>
      <x:c r="F254" s="7" t="n">
        <x:v>1</x:v>
      </x:c>
      <x:c r="G254" s="2" t="str">
        <x:v>기혼</x:v>
      </x:c>
      <x:c r="H254" s="7" t="n">
        <x:v>1</x:v>
      </x:c>
      <x:c r="I254" s="2" t="str">
        <x:f>IF(H254&lt;3,H254&amp;"명","3명 이상")</x:f>
        <x:v>1명</x:v>
      </x:c>
      <x:c r="J254" s="2" t="str">
        <x:v>비흡연</x:v>
      </x:c>
      <x:c r="K254" s="2" t="str">
        <x:v>없음</x:v>
      </x:c>
      <x:c r="L254" s="2" t="str">
        <x:v>없음</x:v>
      </x:c>
      <x:c r="M254" s="2" t="str">
        <x:v>수호천사 간편심사(유병자)보험</x:v>
      </x:c>
      <x:c r="N254" s="2" t="str">
        <x:f>VLOOKUP(M254,'분류기준'!$A$5:$B$8,2,FALSE)</x:f>
        <x:v>간편심사보험</x:v>
      </x:c>
      <x:c r="O254" s="2" t="str">
        <x:v>중증질환 산정특례 보장 특약</x:v>
      </x:c>
      <x:c r="P254" s="2" t="str">
        <x:f>IF(O254="선택 안함","선택 안함",IF(O254="특약 없음","특약 없음","가입"))</x:f>
        <x:v>가입</x:v>
      </x:c>
      <x:c r="Q254" s="2" t="str">
        <x:f>IF(P254="가입","가입","미가입")</x:f>
        <x:v>가입</x:v>
      </x:c>
    </x:row>
    <x:row r="255" ht="23" customHeight="1">
      <x:c r="A255" s="2" t="str">
        <x:v>C0456</x:v>
      </x:c>
      <x:c r="B255" s="7" t="n">
        <x:v>31</x:v>
      </x:c>
      <x:c r="C255" s="2" t="str">
        <x:f>INT(B255/10)*10&amp;"대"</x:f>
        <x:v>30대</x:v>
      </x:c>
      <x:c r="D255" s="2" t="str">
        <x:v>남성</x:v>
      </x:c>
      <x:c r="E255" s="7" t="n">
        <x:v>7500</x:v>
      </x:c>
      <x:c r="F255" s="7" t="n">
        <x:v>2</x:v>
      </x:c>
      <x:c r="G255" s="2" t="str">
        <x:v>기혼</x:v>
      </x:c>
      <x:c r="H255" s="7" t="n">
        <x:v>2</x:v>
      </x:c>
      <x:c r="I255" s="2" t="str">
        <x:f>IF(H255&lt;3,H255&amp;"명","3명 이상")</x:f>
        <x:v>2명</x:v>
      </x:c>
      <x:c r="J255" s="2" t="str">
        <x:v>비흡연</x:v>
      </x:c>
      <x:c r="K255" s="2" t="str">
        <x:v>없음</x:v>
      </x:c>
      <x:c r="L255" s="2" t="str">
        <x:v>암</x:v>
      </x:c>
      <x:c r="M255" s="2" t="str">
        <x:v>수호천사 암/건강보험</x:v>
      </x:c>
      <x:c r="N255" s="2" t="str">
        <x:f>VLOOKUP(M255,'분류기준'!$A$5:$B$8,2,FALSE)</x:f>
        <x:v>암/건강보험</x:v>
      </x:c>
      <x:c r="O255" s="2" t="str">
        <x:v>수술비 보장 특약</x:v>
      </x:c>
      <x:c r="P255" s="2" t="str">
        <x:f>IF(O255="선택 안함","선택 안함",IF(O255="특약 없음","특약 없음","가입"))</x:f>
        <x:v>가입</x:v>
      </x:c>
      <x:c r="Q255" s="2" t="str">
        <x:f>IF(P255="가입","가입","미가입")</x:f>
        <x:v>가입</x:v>
      </x:c>
    </x:row>
    <x:row r="256" ht="23" customHeight="1">
      <x:c r="A256" s="2" t="str">
        <x:v>C0488</x:v>
      </x:c>
      <x:c r="B256" s="7" t="n">
        <x:v>31</x:v>
      </x:c>
      <x:c r="C256" s="2" t="str">
        <x:f>INT(B256/10)*10&amp;"대"</x:f>
        <x:v>30대</x:v>
      </x:c>
      <x:c r="D256" s="2" t="str">
        <x:v>남성</x:v>
      </x:c>
      <x:c r="E256" s="7" t="n">
        <x:v>6000</x:v>
      </x:c>
      <x:c r="F256" s="7" t="n">
        <x:v>1</x:v>
      </x:c>
      <x:c r="G256" s="2" t="str">
        <x:v>기혼</x:v>
      </x:c>
      <x:c r="H256" s="7" t="n">
        <x:v>1</x:v>
      </x:c>
      <x:c r="I256" s="2" t="str">
        <x:f>IF(H256&lt;3,H256&amp;"명","3명 이상")</x:f>
        <x:v>1명</x:v>
      </x:c>
      <x:c r="J256" s="2" t="str">
        <x:v>비흡연</x:v>
      </x:c>
      <x:c r="K256" s="2" t="str">
        <x:v>없음</x:v>
      </x:c>
      <x:c r="L256" s="2" t="str">
        <x:v>없음</x:v>
      </x:c>
      <x:c r="M256" s="2" t="str">
        <x:v>수호천사 우리가족 종신보험</x:v>
      </x:c>
      <x:c r="N256" s="2" t="str">
        <x:f>VLOOKUP(M256,'분류기준'!$A$5:$B$8,2,FALSE)</x:f>
        <x:v>종신보험</x:v>
      </x:c>
      <x:c r="O256" s="2" t="str">
        <x:v>선택 안함</x:v>
      </x:c>
      <x:c r="P256" s="2" t="str">
        <x:f>IF(O256="선택 안함","선택 안함",IF(O256="특약 없음","특약 없음","가입"))</x:f>
        <x:v>선택 안함</x:v>
      </x:c>
      <x:c r="Q256" s="2" t="str">
        <x:f>IF(P256="가입","가입","미가입")</x:f>
        <x:v>미가입</x:v>
      </x:c>
    </x:row>
    <x:row r="257" ht="23" customHeight="1">
      <x:c r="A257" s="2" t="str">
        <x:v>C0494</x:v>
      </x:c>
      <x:c r="B257" s="7" t="n">
        <x:v>31</x:v>
      </x:c>
      <x:c r="C257" s="2" t="str">
        <x:f>INT(B257/10)*10&amp;"대"</x:f>
        <x:v>30대</x:v>
      </x:c>
      <x:c r="D257" s="2" t="str">
        <x:v>여성</x:v>
      </x:c>
      <x:c r="E257" s="7" t="n">
        <x:v>5000</x:v>
      </x:c>
      <x:c r="F257" s="7" t="n">
        <x:v>2</x:v>
      </x:c>
      <x:c r="G257" s="2" t="str">
        <x:v>기혼</x:v>
      </x:c>
      <x:c r="H257" s="7" t="n">
        <x:v>2</x:v>
      </x:c>
      <x:c r="I257" s="2" t="str">
        <x:f>IF(H257&lt;3,H257&amp;"명","3명 이상")</x:f>
        <x:v>2명</x:v>
      </x:c>
      <x:c r="J257" s="2" t="str">
        <x:v>비흡연</x:v>
      </x:c>
      <x:c r="K257" s="2" t="str">
        <x:v>없음</x:v>
      </x:c>
      <x:c r="L257" s="2" t="str">
        <x:v>없음</x:v>
      </x:c>
      <x:c r="M257" s="2" t="str">
        <x:v>수호천사 우리가족 종신보험</x:v>
      </x:c>
      <x:c r="N257" s="2" t="str">
        <x:f>VLOOKUP(M257,'분류기준'!$A$5:$B$8,2,FALSE)</x:f>
        <x:v>종신보험</x:v>
      </x:c>
      <x:c r="O257" s="2" t="str">
        <x:v>가족 수입 보장 특약</x:v>
      </x:c>
      <x:c r="P257" s="2" t="str">
        <x:f>IF(O257="선택 안함","선택 안함",IF(O257="특약 없음","특약 없음","가입"))</x:f>
        <x:v>가입</x:v>
      </x:c>
      <x:c r="Q257" s="2" t="str">
        <x:f>IF(P257="가입","가입","미가입")</x:f>
        <x:v>가입</x:v>
      </x:c>
    </x:row>
    <x:row r="258" ht="23" customHeight="1">
      <x:c r="A258" s="2" t="str">
        <x:v>C0504</x:v>
      </x:c>
      <x:c r="B258" s="7" t="n">
        <x:v>31</x:v>
      </x:c>
      <x:c r="C258" s="2" t="str">
        <x:f>INT(B258/10)*10&amp;"대"</x:f>
        <x:v>30대</x:v>
      </x:c>
      <x:c r="D258" s="2" t="str">
        <x:v>여성</x:v>
      </x:c>
      <x:c r="E258" s="7" t="n">
        <x:v>7500</x:v>
      </x:c>
      <x:c r="F258" s="7" t="n">
        <x:v>1</x:v>
      </x:c>
      <x:c r="G258" s="2" t="str">
        <x:v>미혼</x:v>
      </x:c>
      <x:c r="H258" s="7" t="n">
        <x:v>0</x:v>
      </x:c>
      <x:c r="I258" s="2" t="str">
        <x:f>IF(H258&lt;3,H258&amp;"명","3명 이상")</x:f>
        <x:v>0명</x:v>
      </x:c>
      <x:c r="J258" s="2" t="str">
        <x:v>비흡연</x:v>
      </x:c>
      <x:c r="K258" s="2" t="str">
        <x:v>없음</x:v>
      </x:c>
      <x:c r="L258" s="2" t="str">
        <x:v>암</x:v>
      </x:c>
      <x:c r="M258" s="2" t="str">
        <x:v>수호천사 간편심사(유병자)보험</x:v>
      </x:c>
      <x:c r="N258" s="2" t="str">
        <x:f>VLOOKUP(M258,'분류기준'!$A$5:$B$8,2,FALSE)</x:f>
        <x:v>간편심사보험</x:v>
      </x:c>
      <x:c r="O258" s="2" t="str">
        <x:v>중증질환 산정특례 보장 특약</x:v>
      </x:c>
      <x:c r="P258" s="2" t="str">
        <x:f>IF(O258="선택 안함","선택 안함",IF(O258="특약 없음","특약 없음","가입"))</x:f>
        <x:v>가입</x:v>
      </x:c>
      <x:c r="Q258" s="2" t="str">
        <x:f>IF(P258="가입","가입","미가입")</x:f>
        <x:v>가입</x:v>
      </x:c>
    </x:row>
    <x:row r="259" ht="23" customHeight="1">
      <x:c r="A259" s="2" t="str">
        <x:v>C0542</x:v>
      </x:c>
      <x:c r="B259" s="7" t="n">
        <x:v>31</x:v>
      </x:c>
      <x:c r="C259" s="2" t="str">
        <x:f>INT(B259/10)*10&amp;"대"</x:f>
        <x:v>30대</x:v>
      </x:c>
      <x:c r="D259" s="2" t="str">
        <x:v>남성</x:v>
      </x:c>
      <x:c r="E259" s="7" t="n">
        <x:v>9000</x:v>
      </x:c>
      <x:c r="F259" s="7" t="n">
        <x:v>2</x:v>
      </x:c>
      <x:c r="G259" s="2" t="str">
        <x:v>미혼</x:v>
      </x:c>
      <x:c r="H259" s="7" t="n">
        <x:v>0</x:v>
      </x:c>
      <x:c r="I259" s="2" t="str">
        <x:f>IF(H259&lt;3,H259&amp;"명","3명 이상")</x:f>
        <x:v>0명</x:v>
      </x:c>
      <x:c r="J259" s="2" t="str">
        <x:v>비흡연</x:v>
      </x:c>
      <x:c r="K259" s="2" t="str">
        <x:v>없음</x:v>
      </x:c>
      <x:c r="L259" s="2" t="str">
        <x:v>없음</x:v>
      </x:c>
      <x:c r="M259" s="2" t="str">
        <x:v>수호천사 암/건강보험</x:v>
      </x:c>
      <x:c r="N259" s="2" t="str">
        <x:f>VLOOKUP(M259,'분류기준'!$A$5:$B$8,2,FALSE)</x:f>
        <x:v>암/건강보험</x:v>
      </x:c>
      <x:c r="O259" s="2" t="str">
        <x:v>수술비 보장 특약</x:v>
      </x:c>
      <x:c r="P259" s="2" t="str">
        <x:f>IF(O259="선택 안함","선택 안함",IF(O259="특약 없음","특약 없음","가입"))</x:f>
        <x:v>가입</x:v>
      </x:c>
      <x:c r="Q259" s="2" t="str">
        <x:f>IF(P259="가입","가입","미가입")</x:f>
        <x:v>가입</x:v>
      </x:c>
    </x:row>
    <x:row r="260" ht="23" customHeight="1">
      <x:c r="A260" s="2" t="str">
        <x:v>C0556</x:v>
      </x:c>
      <x:c r="B260" s="7" t="n">
        <x:v>31</x:v>
      </x:c>
      <x:c r="C260" s="2" t="str">
        <x:f>INT(B260/10)*10&amp;"대"</x:f>
        <x:v>30대</x:v>
      </x:c>
      <x:c r="D260" s="2" t="str">
        <x:v>남성</x:v>
      </x:c>
      <x:c r="E260" s="7" t="n">
        <x:v>4000</x:v>
      </x:c>
      <x:c r="F260" s="7" t="n">
        <x:v>1</x:v>
      </x:c>
      <x:c r="G260" s="2" t="str">
        <x:v>미혼</x:v>
      </x:c>
      <x:c r="H260" s="7" t="n">
        <x:v>0</x:v>
      </x:c>
      <x:c r="I260" s="2" t="str">
        <x:f>IF(H260&lt;3,H260&amp;"명","3명 이상")</x:f>
        <x:v>0명</x:v>
      </x:c>
      <x:c r="J260" s="2" t="str">
        <x:v>흡연</x:v>
      </x:c>
      <x:c r="K260" s="2" t="str">
        <x:v>없음</x:v>
      </x:c>
      <x:c r="L260" s="2" t="str">
        <x:v>없음</x:v>
      </x:c>
      <x:c r="M260" s="2" t="str">
        <x:v>수호천사 간편심사(유병자)보험</x:v>
      </x:c>
      <x:c r="N260" s="2" t="str">
        <x:f>VLOOKUP(M260,'분류기준'!$A$5:$B$8,2,FALSE)</x:f>
        <x:v>간편심사보험</x:v>
      </x:c>
      <x:c r="O260" s="2" t="str">
        <x:v>중증질환 산정특례 보장 특약</x:v>
      </x:c>
      <x:c r="P260" s="2" t="str">
        <x:f>IF(O260="선택 안함","선택 안함",IF(O260="특약 없음","특약 없음","가입"))</x:f>
        <x:v>가입</x:v>
      </x:c>
      <x:c r="Q260" s="2" t="str">
        <x:f>IF(P260="가입","가입","미가입")</x:f>
        <x:v>가입</x:v>
      </x:c>
    </x:row>
    <x:row r="261" ht="23" customHeight="1">
      <x:c r="A261" s="2" t="str">
        <x:v>C0559</x:v>
      </x:c>
      <x:c r="B261" s="7" t="n">
        <x:v>31</x:v>
      </x:c>
      <x:c r="C261" s="2" t="str">
        <x:f>INT(B261/10)*10&amp;"대"</x:f>
        <x:v>30대</x:v>
      </x:c>
      <x:c r="D261" s="2" t="str">
        <x:v>남성</x:v>
      </x:c>
      <x:c r="E261" s="7" t="n">
        <x:v>3000</x:v>
      </x:c>
      <x:c r="F261" s="7" t="n">
        <x:v>2</x:v>
      </x:c>
      <x:c r="G261" s="2" t="str">
        <x:v>기혼</x:v>
      </x:c>
      <x:c r="H261" s="7" t="n">
        <x:v>1</x:v>
      </x:c>
      <x:c r="I261" s="2" t="str">
        <x:f>IF(H261&lt;3,H261&amp;"명","3명 이상")</x:f>
        <x:v>1명</x:v>
      </x:c>
      <x:c r="J261" s="2" t="str">
        <x:v>비흡연</x:v>
      </x:c>
      <x:c r="K261" s="2" t="str">
        <x:v>고혈압</x:v>
      </x:c>
      <x:c r="L261" s="2" t="str">
        <x:v>없음</x:v>
      </x:c>
      <x:c r="M261" s="2" t="str">
        <x:v>수호천사 우리가족 종신보험</x:v>
      </x:c>
      <x:c r="N261" s="2" t="str">
        <x:f>VLOOKUP(M261,'분류기준'!$A$5:$B$8,2,FALSE)</x:f>
        <x:v>종신보험</x:v>
      </x:c>
      <x:c r="O261" s="2" t="str">
        <x:v>가족 수입 보장 특약</x:v>
      </x:c>
      <x:c r="P261" s="2" t="str">
        <x:f>IF(O261="선택 안함","선택 안함",IF(O261="특약 없음","특약 없음","가입"))</x:f>
        <x:v>가입</x:v>
      </x:c>
      <x:c r="Q261" s="2" t="str">
        <x:f>IF(P261="가입","가입","미가입")</x:f>
        <x:v>가입</x:v>
      </x:c>
    </x:row>
    <x:row r="262" ht="23" customHeight="1">
      <x:c r="A262" s="2" t="str">
        <x:v>C0569</x:v>
      </x:c>
      <x:c r="B262" s="7" t="n">
        <x:v>31</x:v>
      </x:c>
      <x:c r="C262" s="2" t="str">
        <x:f>INT(B262/10)*10&amp;"대"</x:f>
        <x:v>30대</x:v>
      </x:c>
      <x:c r="D262" s="2" t="str">
        <x:v>여성</x:v>
      </x:c>
      <x:c r="E262" s="7" t="n">
        <x:v>5000</x:v>
      </x:c>
      <x:c r="F262" s="7" t="n">
        <x:v>1</x:v>
      </x:c>
      <x:c r="G262" s="2" t="str">
        <x:v>미혼</x:v>
      </x:c>
      <x:c r="H262" s="7" t="n">
        <x:v>0</x:v>
      </x:c>
      <x:c r="I262" s="2" t="str">
        <x:f>IF(H262&lt;3,H262&amp;"명","3명 이상")</x:f>
        <x:v>0명</x:v>
      </x:c>
      <x:c r="J262" s="2" t="str">
        <x:v>비흡연</x:v>
      </x:c>
      <x:c r="K262" s="2" t="str">
        <x:v>없음</x:v>
      </x:c>
      <x:c r="L262" s="2" t="str">
        <x:v>심혈관</x:v>
      </x:c>
      <x:c r="M262" s="2" t="str">
        <x:v>수호천사 암/건강보험</x:v>
      </x:c>
      <x:c r="N262" s="2" t="str">
        <x:f>VLOOKUP(M262,'분류기준'!$A$5:$B$8,2,FALSE)</x:f>
        <x:v>암/건강보험</x:v>
      </x:c>
      <x:c r="O262" s="2" t="str">
        <x:v>표적항암약물허가치료 특약</x:v>
      </x:c>
      <x:c r="P262" s="2" t="str">
        <x:f>IF(O262="선택 안함","선택 안함",IF(O262="특약 없음","특약 없음","가입"))</x:f>
        <x:v>가입</x:v>
      </x:c>
      <x:c r="Q262" s="2" t="str">
        <x:f>IF(P262="가입","가입","미가입")</x:f>
        <x:v>가입</x:v>
      </x:c>
    </x:row>
    <x:row r="263" ht="23" customHeight="1">
      <x:c r="A263" s="2" t="str">
        <x:v>C0588</x:v>
      </x:c>
      <x:c r="B263" s="7" t="n">
        <x:v>31</x:v>
      </x:c>
      <x:c r="C263" s="2" t="str">
        <x:f>INT(B263/10)*10&amp;"대"</x:f>
        <x:v>30대</x:v>
      </x:c>
      <x:c r="D263" s="2" t="str">
        <x:v>여성</x:v>
      </x:c>
      <x:c r="E263" s="7" t="n">
        <x:v>5000</x:v>
      </x:c>
      <x:c r="F263" s="7" t="n">
        <x:v>1</x:v>
      </x:c>
      <x:c r="G263" s="2" t="str">
        <x:v>미혼</x:v>
      </x:c>
      <x:c r="H263" s="7" t="n">
        <x:v>0</x:v>
      </x:c>
      <x:c r="I263" s="2" t="str">
        <x:f>IF(H263&lt;3,H263&amp;"명","3명 이상")</x:f>
        <x:v>0명</x:v>
      </x:c>
      <x:c r="J263" s="2" t="str">
        <x:v>비흡연</x:v>
      </x:c>
      <x:c r="K263" s="2" t="str">
        <x:v>없음</x:v>
      </x:c>
      <x:c r="L263" s="2" t="str">
        <x:v>암</x:v>
      </x:c>
      <x:c r="M263" s="2" t="str">
        <x:v>수호천사 우리가족 종신보험</x:v>
      </x:c>
      <x:c r="N263" s="2" t="str">
        <x:f>VLOOKUP(M263,'분류기준'!$A$5:$B$8,2,FALSE)</x:f>
        <x:v>종신보험</x:v>
      </x:c>
      <x:c r="O263" s="2" t="str">
        <x:v>가족 수입 보장 특약</x:v>
      </x:c>
      <x:c r="P263" s="2" t="str">
        <x:f>IF(O263="선택 안함","선택 안함",IF(O263="특약 없음","특약 없음","가입"))</x:f>
        <x:v>가입</x:v>
      </x:c>
      <x:c r="Q263" s="2" t="str">
        <x:f>IF(P263="가입","가입","미가입")</x:f>
        <x:v>가입</x:v>
      </x:c>
    </x:row>
    <x:row r="264" ht="23" customHeight="1">
      <x:c r="A264" s="2" t="str">
        <x:v>C0667</x:v>
      </x:c>
      <x:c r="B264" s="7" t="n">
        <x:v>31</x:v>
      </x:c>
      <x:c r="C264" s="2" t="str">
        <x:f>INT(B264/10)*10&amp;"대"</x:f>
        <x:v>30대</x:v>
      </x:c>
      <x:c r="D264" s="2" t="str">
        <x:v>남성</x:v>
      </x:c>
      <x:c r="E264" s="7" t="n">
        <x:v>5000</x:v>
      </x:c>
      <x:c r="F264" s="7" t="n">
        <x:v>2</x:v>
      </x:c>
      <x:c r="G264" s="2" t="str">
        <x:v>기혼</x:v>
      </x:c>
      <x:c r="H264" s="7" t="n">
        <x:v>2</x:v>
      </x:c>
      <x:c r="I264" s="2" t="str">
        <x:f>IF(H264&lt;3,H264&amp;"명","3명 이상")</x:f>
        <x:v>2명</x:v>
      </x:c>
      <x:c r="J264" s="2" t="str">
        <x:v>비흡연</x:v>
      </x:c>
      <x:c r="K264" s="2" t="str">
        <x:v>고혈압</x:v>
      </x:c>
      <x:c r="L264" s="2" t="str">
        <x:v>없음</x:v>
      </x:c>
      <x:c r="M264" s="2" t="str">
        <x:v>수호천사 간편심사(유병자)보험</x:v>
      </x:c>
      <x:c r="N264" s="2" t="str">
        <x:f>VLOOKUP(M264,'분류기준'!$A$5:$B$8,2,FALSE)</x:f>
        <x:v>간편심사보험</x:v>
      </x:c>
      <x:c r="O264" s="2" t="str">
        <x:v>중증질환 산정특례 보장 특약</x:v>
      </x:c>
      <x:c r="P264" s="2" t="str">
        <x:f>IF(O264="선택 안함","선택 안함",IF(O264="특약 없음","특약 없음","가입"))</x:f>
        <x:v>가입</x:v>
      </x:c>
      <x:c r="Q264" s="2" t="str">
        <x:f>IF(P264="가입","가입","미가입")</x:f>
        <x:v>가입</x:v>
      </x:c>
    </x:row>
    <x:row r="265" ht="23" customHeight="1">
      <x:c r="A265" s="2" t="str">
        <x:v>C0673</x:v>
      </x:c>
      <x:c r="B265" s="7" t="n">
        <x:v>31</x:v>
      </x:c>
      <x:c r="C265" s="2" t="str">
        <x:f>INT(B265/10)*10&amp;"대"</x:f>
        <x:v>30대</x:v>
      </x:c>
      <x:c r="D265" s="2" t="str">
        <x:v>남성</x:v>
      </x:c>
      <x:c r="E265" s="7" t="n">
        <x:v>9000</x:v>
      </x:c>
      <x:c r="F265" s="7" t="n">
        <x:v>1</x:v>
      </x:c>
      <x:c r="G265" s="2" t="str">
        <x:v>기혼</x:v>
      </x:c>
      <x:c r="H265" s="7" t="n">
        <x:v>1</x:v>
      </x:c>
      <x:c r="I265" s="2" t="str">
        <x:f>IF(H265&lt;3,H265&amp;"명","3명 이상")</x:f>
        <x:v>1명</x:v>
      </x:c>
      <x:c r="J265" s="2" t="str">
        <x:v>비흡연</x:v>
      </x:c>
      <x:c r="K265" s="2" t="str">
        <x:v>없음</x:v>
      </x:c>
      <x:c r="L265" s="2" t="str">
        <x:v>없음</x:v>
      </x:c>
      <x:c r="M265" s="2" t="str">
        <x:v>수호천사 우리가족 종신보험</x:v>
      </x:c>
      <x:c r="N265" s="2" t="str">
        <x:f>VLOOKUP(M265,'분류기준'!$A$5:$B$8,2,FALSE)</x:f>
        <x:v>종신보험</x:v>
      </x:c>
      <x:c r="O265" s="2" t="str">
        <x:v>가족 수입 보장 특약</x:v>
      </x:c>
      <x:c r="P265" s="2" t="str">
        <x:f>IF(O265="선택 안함","선택 안함",IF(O265="특약 없음","특약 없음","가입"))</x:f>
        <x:v>가입</x:v>
      </x:c>
      <x:c r="Q265" s="2" t="str">
        <x:f>IF(P265="가입","가입","미가입")</x:f>
        <x:v>가입</x:v>
      </x:c>
    </x:row>
    <x:row r="266" ht="23" customHeight="1">
      <x:c r="A266" s="2" t="str">
        <x:v>C0757</x:v>
      </x:c>
      <x:c r="B266" s="7" t="n">
        <x:v>31</x:v>
      </x:c>
      <x:c r="C266" s="2" t="str">
        <x:f>INT(B266/10)*10&amp;"대"</x:f>
        <x:v>30대</x:v>
      </x:c>
      <x:c r="D266" s="2" t="str">
        <x:v>여성</x:v>
      </x:c>
      <x:c r="E266" s="7" t="n">
        <x:v>6000</x:v>
      </x:c>
      <x:c r="F266" s="7" t="n">
        <x:v>2</x:v>
      </x:c>
      <x:c r="G266" s="2" t="str">
        <x:v>기혼</x:v>
      </x:c>
      <x:c r="H266" s="7" t="n">
        <x:v>2</x:v>
      </x:c>
      <x:c r="I266" s="2" t="str">
        <x:f>IF(H266&lt;3,H266&amp;"명","3명 이상")</x:f>
        <x:v>2명</x:v>
      </x:c>
      <x:c r="J266" s="2" t="str">
        <x:v>비흡연</x:v>
      </x:c>
      <x:c r="K266" s="2" t="str">
        <x:v>없음</x:v>
      </x:c>
      <x:c r="L266" s="2" t="str">
        <x:v>없음</x:v>
      </x:c>
      <x:c r="M266" s="2" t="str">
        <x:v>수호천사 우리가족 종신보험</x:v>
      </x:c>
      <x:c r="N266" s="2" t="str">
        <x:f>VLOOKUP(M266,'분류기준'!$A$5:$B$8,2,FALSE)</x:f>
        <x:v>종신보험</x:v>
      </x:c>
      <x:c r="O266" s="2" t="str">
        <x:v>가족 수입 보장 특약</x:v>
      </x:c>
      <x:c r="P266" s="2" t="str">
        <x:f>IF(O266="선택 안함","선택 안함",IF(O266="특약 없음","특약 없음","가입"))</x:f>
        <x:v>가입</x:v>
      </x:c>
      <x:c r="Q266" s="2" t="str">
        <x:f>IF(P266="가입","가입","미가입")</x:f>
        <x:v>가입</x:v>
      </x:c>
    </x:row>
    <x:row r="267" ht="23" customHeight="1">
      <x:c r="A267" s="2" t="str">
        <x:v>C0833</x:v>
      </x:c>
      <x:c r="B267" s="7" t="n">
        <x:v>31</x:v>
      </x:c>
      <x:c r="C267" s="2" t="str">
        <x:f>INT(B267/10)*10&amp;"대"</x:f>
        <x:v>30대</x:v>
      </x:c>
      <x:c r="D267" s="2" t="str">
        <x:v>여성</x:v>
      </x:c>
      <x:c r="E267" s="7" t="n">
        <x:v>3000</x:v>
      </x:c>
      <x:c r="F267" s="7" t="n">
        <x:v>1</x:v>
      </x:c>
      <x:c r="G267" s="2" t="str">
        <x:v>미혼</x:v>
      </x:c>
      <x:c r="H267" s="7" t="n">
        <x:v>0</x:v>
      </x:c>
      <x:c r="I267" s="2" t="str">
        <x:f>IF(H267&lt;3,H267&amp;"명","3명 이상")</x:f>
        <x:v>0명</x:v>
      </x:c>
      <x:c r="J267" s="2" t="str">
        <x:v>비흡연</x:v>
      </x:c>
      <x:c r="K267" s="2" t="str">
        <x:v>없음</x:v>
      </x:c>
      <x:c r="L267" s="2" t="str">
        <x:v>없음</x:v>
      </x:c>
      <x:c r="M267" s="2" t="str">
        <x:v>수호천사 간편심사(유병자)보험</x:v>
      </x:c>
      <x:c r="N267" s="2" t="str">
        <x:f>VLOOKUP(M267,'분류기준'!$A$5:$B$8,2,FALSE)</x:f>
        <x:v>간편심사보험</x:v>
      </x:c>
      <x:c r="O267" s="2" t="str">
        <x:v>선택 안함</x:v>
      </x:c>
      <x:c r="P267" s="2" t="str">
        <x:f>IF(O267="선택 안함","선택 안함",IF(O267="특약 없음","특약 없음","가입"))</x:f>
        <x:v>선택 안함</x:v>
      </x:c>
      <x:c r="Q267" s="2" t="str">
        <x:f>IF(P267="가입","가입","미가입")</x:f>
        <x:v>미가입</x:v>
      </x:c>
    </x:row>
    <x:row r="268" ht="23" customHeight="1">
      <x:c r="A268" s="2" t="str">
        <x:v>C0955</x:v>
      </x:c>
      <x:c r="B268" s="7" t="n">
        <x:v>31</x:v>
      </x:c>
      <x:c r="C268" s="2" t="str">
        <x:f>INT(B268/10)*10&amp;"대"</x:f>
        <x:v>30대</x:v>
      </x:c>
      <x:c r="D268" s="2" t="str">
        <x:v>남성</x:v>
      </x:c>
      <x:c r="E268" s="7" t="n">
        <x:v>7500</x:v>
      </x:c>
      <x:c r="F268" s="7" t="n">
        <x:v>1</x:v>
      </x:c>
      <x:c r="G268" s="2" t="str">
        <x:v>기혼</x:v>
      </x:c>
      <x:c r="H268" s="7" t="n">
        <x:v>0</x:v>
      </x:c>
      <x:c r="I268" s="2" t="str">
        <x:f>IF(H268&lt;3,H268&amp;"명","3명 이상")</x:f>
        <x:v>0명</x:v>
      </x:c>
      <x:c r="J268" s="2" t="str">
        <x:v>비흡연</x:v>
      </x:c>
      <x:c r="K268" s="2" t="str">
        <x:v>없음</x:v>
      </x:c>
      <x:c r="L268" s="2" t="str">
        <x:v>없음</x:v>
      </x:c>
      <x:c r="M268" s="2" t="str">
        <x:v>수호천사 암/건강보험</x:v>
      </x:c>
      <x:c r="N268" s="2" t="str">
        <x:f>VLOOKUP(M268,'분류기준'!$A$5:$B$8,2,FALSE)</x:f>
        <x:v>암/건강보험</x:v>
      </x:c>
      <x:c r="O268" s="2" t="str">
        <x:v>수술비 보장 특약</x:v>
      </x:c>
      <x:c r="P268" s="2" t="str">
        <x:f>IF(O268="선택 안함","선택 안함",IF(O268="특약 없음","특약 없음","가입"))</x:f>
        <x:v>가입</x:v>
      </x:c>
      <x:c r="Q268" s="2" t="str">
        <x:f>IF(P268="가입","가입","미가입")</x:f>
        <x:v>가입</x:v>
      </x:c>
    </x:row>
    <x:row r="269" ht="23" customHeight="1">
      <x:c r="A269" s="2" t="str">
        <x:v>C0996</x:v>
      </x:c>
      <x:c r="B269" s="7" t="n">
        <x:v>31</x:v>
      </x:c>
      <x:c r="C269" s="2" t="str">
        <x:f>INT(B269/10)*10&amp;"대"</x:f>
        <x:v>30대</x:v>
      </x:c>
      <x:c r="D269" s="2" t="str">
        <x:v>남성</x:v>
      </x:c>
      <x:c r="E269" s="7" t="n">
        <x:v>6000</x:v>
      </x:c>
      <x:c r="F269" s="7" t="n">
        <x:v>2</x:v>
      </x:c>
      <x:c r="G269" s="2" t="str">
        <x:v>기혼</x:v>
      </x:c>
      <x:c r="H269" s="7" t="n">
        <x:v>2</x:v>
      </x:c>
      <x:c r="I269" s="2" t="str">
        <x:f>IF(H269&lt;3,H269&amp;"명","3명 이상")</x:f>
        <x:v>2명</x:v>
      </x:c>
      <x:c r="J269" s="2" t="str">
        <x:v>비흡연</x:v>
      </x:c>
      <x:c r="K269" s="2" t="str">
        <x:v>없음</x:v>
      </x:c>
      <x:c r="L269" s="2" t="str">
        <x:v>암</x:v>
      </x:c>
      <x:c r="M269" s="2" t="str">
        <x:v>수호천사 간편심사(유병자)보험</x:v>
      </x:c>
      <x:c r="N269" s="2" t="str">
        <x:f>VLOOKUP(M269,'분류기준'!$A$5:$B$8,2,FALSE)</x:f>
        <x:v>간편심사보험</x:v>
      </x:c>
      <x:c r="O269" s="2" t="str">
        <x:v>중증질환 산정특례 보장 특약</x:v>
      </x:c>
      <x:c r="P269" s="2" t="str">
        <x:f>IF(O269="선택 안함","선택 안함",IF(O269="특약 없음","특약 없음","가입"))</x:f>
        <x:v>가입</x:v>
      </x:c>
      <x:c r="Q269" s="2" t="str">
        <x:f>IF(P269="가입","가입","미가입")</x:f>
        <x:v>가입</x:v>
      </x:c>
    </x:row>
    <x:row r="270" ht="23" customHeight="1">
      <x:c r="A270" s="2" t="str">
        <x:v>C0141</x:v>
      </x:c>
      <x:c r="B270" s="7" t="n">
        <x:v>32</x:v>
      </x:c>
      <x:c r="C270" s="2" t="str">
        <x:f>INT(B270/10)*10&amp;"대"</x:f>
        <x:v>30대</x:v>
      </x:c>
      <x:c r="D270" s="2" t="str">
        <x:v>남성</x:v>
      </x:c>
      <x:c r="E270" s="7" t="n">
        <x:v>6000</x:v>
      </x:c>
      <x:c r="F270" s="7" t="n">
        <x:v>2</x:v>
      </x:c>
      <x:c r="G270" s="2" t="str">
        <x:v>미혼</x:v>
      </x:c>
      <x:c r="H270" s="7" t="n">
        <x:v>0</x:v>
      </x:c>
      <x:c r="I270" s="2" t="str">
        <x:f>IF(H270&lt;3,H270&amp;"명","3명 이상")</x:f>
        <x:v>0명</x:v>
      </x:c>
      <x:c r="J270" s="2" t="str">
        <x:v>비흡연</x:v>
      </x:c>
      <x:c r="K270" s="2" t="str">
        <x:v>없음</x:v>
      </x:c>
      <x:c r="L270" s="2" t="str">
        <x:v>암</x:v>
      </x:c>
      <x:c r="M270" s="2" t="str">
        <x:v>수호천사 암/건강보험</x:v>
      </x:c>
      <x:c r="N270" s="2" t="str">
        <x:f>VLOOKUP(M270,'분류기준'!$A$5:$B$8,2,FALSE)</x:f>
        <x:v>암/건강보험</x:v>
      </x:c>
      <x:c r="O270" s="2" t="str">
        <x:v>수술비 보장 특약</x:v>
      </x:c>
      <x:c r="P270" s="2" t="str">
        <x:f>IF(O270="선택 안함","선택 안함",IF(O270="특약 없음","특약 없음","가입"))</x:f>
        <x:v>가입</x:v>
      </x:c>
      <x:c r="Q270" s="2" t="str">
        <x:f>IF(P270="가입","가입","미가입")</x:f>
        <x:v>가입</x:v>
      </x:c>
    </x:row>
    <x:row r="271" ht="23" customHeight="1">
      <x:c r="A271" s="2" t="str">
        <x:v>C0155</x:v>
      </x:c>
      <x:c r="B271" s="7" t="n">
        <x:v>32</x:v>
      </x:c>
      <x:c r="C271" s="2" t="str">
        <x:f>INT(B271/10)*10&amp;"대"</x:f>
        <x:v>30대</x:v>
      </x:c>
      <x:c r="D271" s="2" t="str">
        <x:v>남성</x:v>
      </x:c>
      <x:c r="E271" s="7" t="n">
        <x:v>5000</x:v>
      </x:c>
      <x:c r="F271" s="7" t="n">
        <x:v>1</x:v>
      </x:c>
      <x:c r="G271" s="2" t="str">
        <x:v>기혼</x:v>
      </x:c>
      <x:c r="H271" s="7" t="n">
        <x:v>1</x:v>
      </x:c>
      <x:c r="I271" s="2" t="str">
        <x:f>IF(H271&lt;3,H271&amp;"명","3명 이상")</x:f>
        <x:v>1명</x:v>
      </x:c>
      <x:c r="J271" s="2" t="str">
        <x:v>흡연</x:v>
      </x:c>
      <x:c r="K271" s="2" t="str">
        <x:v>없음</x:v>
      </x:c>
      <x:c r="L271" s="2" t="str">
        <x:v>심혈관</x:v>
      </x:c>
      <x:c r="M271" s="2" t="str">
        <x:v>수호천사 행복 연금보험</x:v>
      </x:c>
      <x:c r="N271" s="2" t="str">
        <x:f>VLOOKUP(M271,'분류기준'!$A$5:$B$8,2,FALSE)</x:f>
        <x:v>연금보험</x:v>
      </x:c>
      <x:c r="O271" s="2" t="str">
        <x:v>특약 없음</x:v>
      </x:c>
      <x:c r="P271" s="2" t="str">
        <x:f>IF(O271="선택 안함","선택 안함",IF(O271="특약 없음","특약 없음","가입"))</x:f>
        <x:v>특약 없음</x:v>
      </x:c>
      <x:c r="Q271" s="2" t="str">
        <x:f>IF(P271="가입","가입","미가입")</x:f>
        <x:v>미가입</x:v>
      </x:c>
    </x:row>
    <x:row r="272" ht="23" customHeight="1">
      <x:c r="A272" s="2" t="str">
        <x:v>C0177</x:v>
      </x:c>
      <x:c r="B272" s="7" t="n">
        <x:v>32</x:v>
      </x:c>
      <x:c r="C272" s="2" t="str">
        <x:f>INT(B272/10)*10&amp;"대"</x:f>
        <x:v>30대</x:v>
      </x:c>
      <x:c r="D272" s="2" t="str">
        <x:v>여성</x:v>
      </x:c>
      <x:c r="E272" s="7" t="n">
        <x:v>5000</x:v>
      </x:c>
      <x:c r="F272" s="7" t="n">
        <x:v>1</x:v>
      </x:c>
      <x:c r="G272" s="2" t="str">
        <x:v>기혼</x:v>
      </x:c>
      <x:c r="H272" s="7" t="n">
        <x:v>1</x:v>
      </x:c>
      <x:c r="I272" s="2" t="str">
        <x:f>IF(H272&lt;3,H272&amp;"명","3명 이상")</x:f>
        <x:v>1명</x:v>
      </x:c>
      <x:c r="J272" s="2" t="str">
        <x:v>흡연</x:v>
      </x:c>
      <x:c r="K272" s="2" t="str">
        <x:v>없음</x:v>
      </x:c>
      <x:c r="L272" s="2" t="str">
        <x:v>없음</x:v>
      </x:c>
      <x:c r="M272" s="2" t="str">
        <x:v>수호천사 우리가족 종신보험</x:v>
      </x:c>
      <x:c r="N272" s="2" t="str">
        <x:f>VLOOKUP(M272,'분류기준'!$A$5:$B$8,2,FALSE)</x:f>
        <x:v>종신보험</x:v>
      </x:c>
      <x:c r="O272" s="2" t="str">
        <x:v>선택 안함</x:v>
      </x:c>
      <x:c r="P272" s="2" t="str">
        <x:f>IF(O272="선택 안함","선택 안함",IF(O272="특약 없음","특약 없음","가입"))</x:f>
        <x:v>선택 안함</x:v>
      </x:c>
      <x:c r="Q272" s="2" t="str">
        <x:f>IF(P272="가입","가입","미가입")</x:f>
        <x:v>미가입</x:v>
      </x:c>
    </x:row>
    <x:row r="273" ht="23" customHeight="1">
      <x:c r="A273" s="2" t="str">
        <x:v>C0376</x:v>
      </x:c>
      <x:c r="B273" s="7" t="n">
        <x:v>32</x:v>
      </x:c>
      <x:c r="C273" s="2" t="str">
        <x:f>INT(B273/10)*10&amp;"대"</x:f>
        <x:v>30대</x:v>
      </x:c>
      <x:c r="D273" s="2" t="str">
        <x:v>여성</x:v>
      </x:c>
      <x:c r="E273" s="7" t="n">
        <x:v>5000</x:v>
      </x:c>
      <x:c r="F273" s="7" t="n">
        <x:v>2</x:v>
      </x:c>
      <x:c r="G273" s="2" t="str">
        <x:v>미혼</x:v>
      </x:c>
      <x:c r="H273" s="7" t="n">
        <x:v>0</x:v>
      </x:c>
      <x:c r="I273" s="2" t="str">
        <x:f>IF(H273&lt;3,H273&amp;"명","3명 이상")</x:f>
        <x:v>0명</x:v>
      </x:c>
      <x:c r="J273" s="2" t="str">
        <x:v>비흡연</x:v>
      </x:c>
      <x:c r="K273" s="2" t="str">
        <x:v>없음</x:v>
      </x:c>
      <x:c r="L273" s="2" t="str">
        <x:v>암</x:v>
      </x:c>
      <x:c r="M273" s="2" t="str">
        <x:v>수호천사 행복 연금보험</x:v>
      </x:c>
      <x:c r="N273" s="2" t="str">
        <x:f>VLOOKUP(M273,'분류기준'!$A$5:$B$8,2,FALSE)</x:f>
        <x:v>연금보험</x:v>
      </x:c>
      <x:c r="O273" s="2" t="str">
        <x:v>특약 없음</x:v>
      </x:c>
      <x:c r="P273" s="2" t="str">
        <x:f>IF(O273="선택 안함","선택 안함",IF(O273="특약 없음","특약 없음","가입"))</x:f>
        <x:v>특약 없음</x:v>
      </x:c>
      <x:c r="Q273" s="2" t="str">
        <x:f>IF(P273="가입","가입","미가입")</x:f>
        <x:v>미가입</x:v>
      </x:c>
    </x:row>
    <x:row r="274" ht="23" customHeight="1">
      <x:c r="A274" s="2" t="str">
        <x:v>C0417</x:v>
      </x:c>
      <x:c r="B274" s="7" t="n">
        <x:v>32</x:v>
      </x:c>
      <x:c r="C274" s="2" t="str">
        <x:f>INT(B274/10)*10&amp;"대"</x:f>
        <x:v>30대</x:v>
      </x:c>
      <x:c r="D274" s="2" t="str">
        <x:v>여성</x:v>
      </x:c>
      <x:c r="E274" s="7" t="n">
        <x:v>4000</x:v>
      </x:c>
      <x:c r="F274" s="7" t="n">
        <x:v>2</x:v>
      </x:c>
      <x:c r="G274" s="2" t="str">
        <x:v>기혼</x:v>
      </x:c>
      <x:c r="H274" s="7" t="n">
        <x:v>1</x:v>
      </x:c>
      <x:c r="I274" s="2" t="str">
        <x:f>IF(H274&lt;3,H274&amp;"명","3명 이상")</x:f>
        <x:v>1명</x:v>
      </x:c>
      <x:c r="J274" s="2" t="str">
        <x:v>흡연</x:v>
      </x:c>
      <x:c r="K274" s="2" t="str">
        <x:v>없음</x:v>
      </x:c>
      <x:c r="L274" s="2" t="str">
        <x:v>없음</x:v>
      </x:c>
      <x:c r="M274" s="2" t="str">
        <x:v>수호천사 암/건강보험</x:v>
      </x:c>
      <x:c r="N274" s="2" t="str">
        <x:f>VLOOKUP(M274,'분류기준'!$A$5:$B$8,2,FALSE)</x:f>
        <x:v>암/건강보험</x:v>
      </x:c>
      <x:c r="O274" s="2" t="str">
        <x:v>수술비 보장 특약</x:v>
      </x:c>
      <x:c r="P274" s="2" t="str">
        <x:f>IF(O274="선택 안함","선택 안함",IF(O274="특약 없음","특약 없음","가입"))</x:f>
        <x:v>가입</x:v>
      </x:c>
      <x:c r="Q274" s="2" t="str">
        <x:f>IF(P274="가입","가입","미가입")</x:f>
        <x:v>가입</x:v>
      </x:c>
    </x:row>
    <x:row r="275" ht="23" customHeight="1">
      <x:c r="A275" s="2" t="str">
        <x:v>C0503</x:v>
      </x:c>
      <x:c r="B275" s="7" t="n">
        <x:v>32</x:v>
      </x:c>
      <x:c r="C275" s="2" t="str">
        <x:f>INT(B275/10)*10&amp;"대"</x:f>
        <x:v>30대</x:v>
      </x:c>
      <x:c r="D275" s="2" t="str">
        <x:v>여성</x:v>
      </x:c>
      <x:c r="E275" s="7" t="n">
        <x:v>4000</x:v>
      </x:c>
      <x:c r="F275" s="7" t="n">
        <x:v>2</x:v>
      </x:c>
      <x:c r="G275" s="2" t="str">
        <x:v>미혼</x:v>
      </x:c>
      <x:c r="H275" s="7" t="n">
        <x:v>0</x:v>
      </x:c>
      <x:c r="I275" s="2" t="str">
        <x:f>IF(H275&lt;3,H275&amp;"명","3명 이상")</x:f>
        <x:v>0명</x:v>
      </x:c>
      <x:c r="J275" s="2" t="str">
        <x:v>흡연</x:v>
      </x:c>
      <x:c r="K275" s="2" t="str">
        <x:v>없음</x:v>
      </x:c>
      <x:c r="L275" s="2" t="str">
        <x:v>없음</x:v>
      </x:c>
      <x:c r="M275" s="2" t="str">
        <x:v>수호천사 우리가족 종신보험</x:v>
      </x:c>
      <x:c r="N275" s="2" t="str">
        <x:f>VLOOKUP(M275,'분류기준'!$A$5:$B$8,2,FALSE)</x:f>
        <x:v>종신보험</x:v>
      </x:c>
      <x:c r="O275" s="2" t="str">
        <x:v>선택 안함</x:v>
      </x:c>
      <x:c r="P275" s="2" t="str">
        <x:f>IF(O275="선택 안함","선택 안함",IF(O275="특약 없음","특약 없음","가입"))</x:f>
        <x:v>선택 안함</x:v>
      </x:c>
      <x:c r="Q275" s="2" t="str">
        <x:f>IF(P275="가입","가입","미가입")</x:f>
        <x:v>미가입</x:v>
      </x:c>
    </x:row>
    <x:row r="276" ht="23" customHeight="1">
      <x:c r="A276" s="2" t="str">
        <x:v>C0543</x:v>
      </x:c>
      <x:c r="B276" s="7" t="n">
        <x:v>32</x:v>
      </x:c>
      <x:c r="C276" s="2" t="str">
        <x:f>INT(B276/10)*10&amp;"대"</x:f>
        <x:v>30대</x:v>
      </x:c>
      <x:c r="D276" s="2" t="str">
        <x:v>여성</x:v>
      </x:c>
      <x:c r="E276" s="7" t="n">
        <x:v>4000</x:v>
      </x:c>
      <x:c r="F276" s="7" t="n">
        <x:v>1</x:v>
      </x:c>
      <x:c r="G276" s="2" t="str">
        <x:v>미혼</x:v>
      </x:c>
      <x:c r="H276" s="7" t="n">
        <x:v>0</x:v>
      </x:c>
      <x:c r="I276" s="2" t="str">
        <x:f>IF(H276&lt;3,H276&amp;"명","3명 이상")</x:f>
        <x:v>0명</x:v>
      </x:c>
      <x:c r="J276" s="2" t="str">
        <x:v>비흡연</x:v>
      </x:c>
      <x:c r="K276" s="2" t="str">
        <x:v>없음</x:v>
      </x:c>
      <x:c r="L276" s="2" t="str">
        <x:v>암</x:v>
      </x:c>
      <x:c r="M276" s="2" t="str">
        <x:v>수호천사 간편심사(유병자)보험</x:v>
      </x:c>
      <x:c r="N276" s="2" t="str">
        <x:f>VLOOKUP(M276,'분류기준'!$A$5:$B$8,2,FALSE)</x:f>
        <x:v>간편심사보험</x:v>
      </x:c>
      <x:c r="O276" s="2" t="str">
        <x:v>중증질환 산정특례 보장 특약</x:v>
      </x:c>
      <x:c r="P276" s="2" t="str">
        <x:f>IF(O276="선택 안함","선택 안함",IF(O276="특약 없음","특약 없음","가입"))</x:f>
        <x:v>가입</x:v>
      </x:c>
      <x:c r="Q276" s="2" t="str">
        <x:f>IF(P276="가입","가입","미가입")</x:f>
        <x:v>가입</x:v>
      </x:c>
    </x:row>
    <x:row r="277" ht="23" customHeight="1">
      <x:c r="A277" s="2" t="str">
        <x:v>C0553</x:v>
      </x:c>
      <x:c r="B277" s="7" t="n">
        <x:v>32</x:v>
      </x:c>
      <x:c r="C277" s="2" t="str">
        <x:f>INT(B277/10)*10&amp;"대"</x:f>
        <x:v>30대</x:v>
      </x:c>
      <x:c r="D277" s="2" t="str">
        <x:v>남성</x:v>
      </x:c>
      <x:c r="E277" s="7" t="n">
        <x:v>5000</x:v>
      </x:c>
      <x:c r="F277" s="7" t="n">
        <x:v>2</x:v>
      </x:c>
      <x:c r="G277" s="2" t="str">
        <x:v>기혼</x:v>
      </x:c>
      <x:c r="H277" s="7" t="n">
        <x:v>3</x:v>
      </x:c>
      <x:c r="I277" s="2" t="str">
        <x:f>IF(H277&lt;3,H277&amp;"명","3명 이상")</x:f>
        <x:v>3명 이상</x:v>
      </x:c>
      <x:c r="J277" s="2" t="str">
        <x:v>비흡연</x:v>
      </x:c>
      <x:c r="K277" s="2" t="str">
        <x:v>없음</x:v>
      </x:c>
      <x:c r="L277" s="2" t="str">
        <x:v>암</x:v>
      </x:c>
      <x:c r="M277" s="2" t="str">
        <x:v>수호천사 우리가족 종신보험</x:v>
      </x:c>
      <x:c r="N277" s="2" t="str">
        <x:f>VLOOKUP(M277,'분류기준'!$A$5:$B$8,2,FALSE)</x:f>
        <x:v>종신보험</x:v>
      </x:c>
      <x:c r="O277" s="2" t="str">
        <x:v>가족 수입 보장 특약</x:v>
      </x:c>
      <x:c r="P277" s="2" t="str">
        <x:f>IF(O277="선택 안함","선택 안함",IF(O277="특약 없음","특약 없음","가입"))</x:f>
        <x:v>가입</x:v>
      </x:c>
      <x:c r="Q277" s="2" t="str">
        <x:f>IF(P277="가입","가입","미가입")</x:f>
        <x:v>가입</x:v>
      </x:c>
    </x:row>
    <x:row r="278" ht="23" customHeight="1">
      <x:c r="A278" s="2" t="str">
        <x:v>C0596</x:v>
      </x:c>
      <x:c r="B278" s="7" t="n">
        <x:v>32</x:v>
      </x:c>
      <x:c r="C278" s="2" t="str">
        <x:f>INT(B278/10)*10&amp;"대"</x:f>
        <x:v>30대</x:v>
      </x:c>
      <x:c r="D278" s="2" t="str">
        <x:v>여성</x:v>
      </x:c>
      <x:c r="E278" s="7" t="n">
        <x:v>6000</x:v>
      </x:c>
      <x:c r="F278" s="7" t="n">
        <x:v>1</x:v>
      </x:c>
      <x:c r="G278" s="2" t="str">
        <x:v>기혼</x:v>
      </x:c>
      <x:c r="H278" s="7" t="n">
        <x:v>0</x:v>
      </x:c>
      <x:c r="I278" s="2" t="str">
        <x:f>IF(H278&lt;3,H278&amp;"명","3명 이상")</x:f>
        <x:v>0명</x:v>
      </x:c>
      <x:c r="J278" s="2" t="str">
        <x:v>흡연</x:v>
      </x:c>
      <x:c r="K278" s="2" t="str">
        <x:v>없음</x:v>
      </x:c>
      <x:c r="L278" s="2" t="str">
        <x:v>암</x:v>
      </x:c>
      <x:c r="M278" s="2" t="str">
        <x:v>수호천사 암/건강보험</x:v>
      </x:c>
      <x:c r="N278" s="2" t="str">
        <x:f>VLOOKUP(M278,'분류기준'!$A$5:$B$8,2,FALSE)</x:f>
        <x:v>암/건강보험</x:v>
      </x:c>
      <x:c r="O278" s="2" t="str">
        <x:v>표적항암약물허가치료 특약</x:v>
      </x:c>
      <x:c r="P278" s="2" t="str">
        <x:f>IF(O278="선택 안함","선택 안함",IF(O278="특약 없음","특약 없음","가입"))</x:f>
        <x:v>가입</x:v>
      </x:c>
      <x:c r="Q278" s="2" t="str">
        <x:f>IF(P278="가입","가입","미가입")</x:f>
        <x:v>가입</x:v>
      </x:c>
    </x:row>
    <x:row r="279" ht="23" customHeight="1">
      <x:c r="A279" s="2" t="str">
        <x:v>C0629</x:v>
      </x:c>
      <x:c r="B279" s="7" t="n">
        <x:v>32</x:v>
      </x:c>
      <x:c r="C279" s="2" t="str">
        <x:f>INT(B279/10)*10&amp;"대"</x:f>
        <x:v>30대</x:v>
      </x:c>
      <x:c r="D279" s="2" t="str">
        <x:v>여성</x:v>
      </x:c>
      <x:c r="E279" s="7" t="n">
        <x:v>3000</x:v>
      </x:c>
      <x:c r="F279" s="7" t="n">
        <x:v>2</x:v>
      </x:c>
      <x:c r="G279" s="2" t="str">
        <x:v>미혼</x:v>
      </x:c>
      <x:c r="H279" s="7" t="n">
        <x:v>0</x:v>
      </x:c>
      <x:c r="I279" s="2" t="str">
        <x:f>IF(H279&lt;3,H279&amp;"명","3명 이상")</x:f>
        <x:v>0명</x:v>
      </x:c>
      <x:c r="J279" s="2" t="str">
        <x:v>비흡연</x:v>
      </x:c>
      <x:c r="K279" s="2" t="str">
        <x:v>없음</x:v>
      </x:c>
      <x:c r="L279" s="2" t="str">
        <x:v>없음</x:v>
      </x:c>
      <x:c r="M279" s="2" t="str">
        <x:v>수호천사 행복 연금보험</x:v>
      </x:c>
      <x:c r="N279" s="2" t="str">
        <x:f>VLOOKUP(M279,'분류기준'!$A$5:$B$8,2,FALSE)</x:f>
        <x:v>연금보험</x:v>
      </x:c>
      <x:c r="O279" s="2" t="str">
        <x:v>특약 없음</x:v>
      </x:c>
      <x:c r="P279" s="2" t="str">
        <x:f>IF(O279="선택 안함","선택 안함",IF(O279="특약 없음","특약 없음","가입"))</x:f>
        <x:v>특약 없음</x:v>
      </x:c>
      <x:c r="Q279" s="2" t="str">
        <x:f>IF(P279="가입","가입","미가입")</x:f>
        <x:v>미가입</x:v>
      </x:c>
    </x:row>
    <x:row r="280" ht="23" customHeight="1">
      <x:c r="A280" s="2" t="str">
        <x:v>C0638</x:v>
      </x:c>
      <x:c r="B280" s="7" t="n">
        <x:v>32</x:v>
      </x:c>
      <x:c r="C280" s="2" t="str">
        <x:f>INT(B280/10)*10&amp;"대"</x:f>
        <x:v>30대</x:v>
      </x:c>
      <x:c r="D280" s="2" t="str">
        <x:v>남성</x:v>
      </x:c>
      <x:c r="E280" s="7" t="n">
        <x:v>6000</x:v>
      </x:c>
      <x:c r="F280" s="7" t="n">
        <x:v>1</x:v>
      </x:c>
      <x:c r="G280" s="2" t="str">
        <x:v>기혼</x:v>
      </x:c>
      <x:c r="H280" s="7" t="n">
        <x:v>3</x:v>
      </x:c>
      <x:c r="I280" s="2" t="str">
        <x:f>IF(H280&lt;3,H280&amp;"명","3명 이상")</x:f>
        <x:v>3명 이상</x:v>
      </x:c>
      <x:c r="J280" s="2" t="str">
        <x:v>흡연</x:v>
      </x:c>
      <x:c r="K280" s="2" t="str">
        <x:v>없음</x:v>
      </x:c>
      <x:c r="L280" s="2" t="str">
        <x:v>암</x:v>
      </x:c>
      <x:c r="M280" s="2" t="str">
        <x:v>수호천사 우리가족 종신보험</x:v>
      </x:c>
      <x:c r="N280" s="2" t="str">
        <x:f>VLOOKUP(M280,'분류기준'!$A$5:$B$8,2,FALSE)</x:f>
        <x:v>종신보험</x:v>
      </x:c>
      <x:c r="O280" s="2" t="str">
        <x:v>가족 수입 보장 특약</x:v>
      </x:c>
      <x:c r="P280" s="2" t="str">
        <x:f>IF(O280="선택 안함","선택 안함",IF(O280="특약 없음","특약 없음","가입"))</x:f>
        <x:v>가입</x:v>
      </x:c>
      <x:c r="Q280" s="2" t="str">
        <x:f>IF(P280="가입","가입","미가입")</x:f>
        <x:v>가입</x:v>
      </x:c>
    </x:row>
    <x:row r="281" ht="23" customHeight="1">
      <x:c r="A281" s="2" t="str">
        <x:v>C0691</x:v>
      </x:c>
      <x:c r="B281" s="7" t="n">
        <x:v>32</x:v>
      </x:c>
      <x:c r="C281" s="2" t="str">
        <x:f>INT(B281/10)*10&amp;"대"</x:f>
        <x:v>30대</x:v>
      </x:c>
      <x:c r="D281" s="2" t="str">
        <x:v>남성</x:v>
      </x:c>
      <x:c r="E281" s="7" t="n">
        <x:v>12000</x:v>
      </x:c>
      <x:c r="F281" s="7" t="n">
        <x:v>2</x:v>
      </x:c>
      <x:c r="G281" s="2" t="str">
        <x:v>기혼</x:v>
      </x:c>
      <x:c r="H281" s="7" t="n">
        <x:v>1</x:v>
      </x:c>
      <x:c r="I281" s="2" t="str">
        <x:f>IF(H281&lt;3,H281&amp;"명","3명 이상")</x:f>
        <x:v>1명</x:v>
      </x:c>
      <x:c r="J281" s="2" t="str">
        <x:v>흡연</x:v>
      </x:c>
      <x:c r="K281" s="2" t="str">
        <x:v>없음</x:v>
      </x:c>
      <x:c r="L281" s="2" t="str">
        <x:v>심혈관</x:v>
      </x:c>
      <x:c r="M281" s="2" t="str">
        <x:v>수호천사 암/건강보험</x:v>
      </x:c>
      <x:c r="N281" s="2" t="str">
        <x:f>VLOOKUP(M281,'분류기준'!$A$5:$B$8,2,FALSE)</x:f>
        <x:v>암/건강보험</x:v>
      </x:c>
      <x:c r="O281" s="2" t="str">
        <x:v>표적항암약물허가치료 특약</x:v>
      </x:c>
      <x:c r="P281" s="2" t="str">
        <x:f>IF(O281="선택 안함","선택 안함",IF(O281="특약 없음","특약 없음","가입"))</x:f>
        <x:v>가입</x:v>
      </x:c>
      <x:c r="Q281" s="2" t="str">
        <x:f>IF(P281="가입","가입","미가입")</x:f>
        <x:v>가입</x:v>
      </x:c>
    </x:row>
    <x:row r="282" ht="23" customHeight="1">
      <x:c r="A282" s="2" t="str">
        <x:v>C0694</x:v>
      </x:c>
      <x:c r="B282" s="7" t="n">
        <x:v>32</x:v>
      </x:c>
      <x:c r="C282" s="2" t="str">
        <x:f>INT(B282/10)*10&amp;"대"</x:f>
        <x:v>30대</x:v>
      </x:c>
      <x:c r="D282" s="2" t="str">
        <x:v>여성</x:v>
      </x:c>
      <x:c r="E282" s="7" t="n">
        <x:v>3000</x:v>
      </x:c>
      <x:c r="F282" s="7" t="n">
        <x:v>1</x:v>
      </x:c>
      <x:c r="G282" s="2" t="str">
        <x:v>기혼</x:v>
      </x:c>
      <x:c r="H282" s="7" t="n">
        <x:v>2</x:v>
      </x:c>
      <x:c r="I282" s="2" t="str">
        <x:f>IF(H282&lt;3,H282&amp;"명","3명 이상")</x:f>
        <x:v>2명</x:v>
      </x:c>
      <x:c r="J282" s="2" t="str">
        <x:v>비흡연</x:v>
      </x:c>
      <x:c r="K282" s="2" t="str">
        <x:v>고혈압</x:v>
      </x:c>
      <x:c r="L282" s="2" t="str">
        <x:v>없음</x:v>
      </x:c>
      <x:c r="M282" s="2" t="str">
        <x:v>수호천사 간편심사(유병자)보험</x:v>
      </x:c>
      <x:c r="N282" s="2" t="str">
        <x:f>VLOOKUP(M282,'분류기준'!$A$5:$B$8,2,FALSE)</x:f>
        <x:v>간편심사보험</x:v>
      </x:c>
      <x:c r="O282" s="2" t="str">
        <x:v>중증질환 산정특례 보장 특약</x:v>
      </x:c>
      <x:c r="P282" s="2" t="str">
        <x:f>IF(O282="선택 안함","선택 안함",IF(O282="특약 없음","특약 없음","가입"))</x:f>
        <x:v>가입</x:v>
      </x:c>
      <x:c r="Q282" s="2" t="str">
        <x:f>IF(P282="가입","가입","미가입")</x:f>
        <x:v>가입</x:v>
      </x:c>
    </x:row>
    <x:row r="283" ht="23" customHeight="1">
      <x:c r="A283" s="2" t="str">
        <x:v>C0716</x:v>
      </x:c>
      <x:c r="B283" s="7" t="n">
        <x:v>32</x:v>
      </x:c>
      <x:c r="C283" s="2" t="str">
        <x:f>INT(B283/10)*10&amp;"대"</x:f>
        <x:v>30대</x:v>
      </x:c>
      <x:c r="D283" s="2" t="str">
        <x:v>여성</x:v>
      </x:c>
      <x:c r="E283" s="7" t="n">
        <x:v>12000</x:v>
      </x:c>
      <x:c r="F283" s="7" t="n">
        <x:v>1</x:v>
      </x:c>
      <x:c r="G283" s="2" t="str">
        <x:v>기혼</x:v>
      </x:c>
      <x:c r="H283" s="7" t="n">
        <x:v>0</x:v>
      </x:c>
      <x:c r="I283" s="2" t="str">
        <x:f>IF(H283&lt;3,H283&amp;"명","3명 이상")</x:f>
        <x:v>0명</x:v>
      </x:c>
      <x:c r="J283" s="2" t="str">
        <x:v>비흡연</x:v>
      </x:c>
      <x:c r="K283" s="2" t="str">
        <x:v>없음</x:v>
      </x:c>
      <x:c r="L283" s="2" t="str">
        <x:v>심혈관</x:v>
      </x:c>
      <x:c r="M283" s="2" t="str">
        <x:v>수호천사 암/건강보험</x:v>
      </x:c>
      <x:c r="N283" s="2" t="str">
        <x:f>VLOOKUP(M283,'분류기준'!$A$5:$B$8,2,FALSE)</x:f>
        <x:v>암/건강보험</x:v>
      </x:c>
      <x:c r="O283" s="2" t="str">
        <x:v>표적항암약물허가치료 특약</x:v>
      </x:c>
      <x:c r="P283" s="2" t="str">
        <x:f>IF(O283="선택 안함","선택 안함",IF(O283="특약 없음","특약 없음","가입"))</x:f>
        <x:v>가입</x:v>
      </x:c>
      <x:c r="Q283" s="2" t="str">
        <x:f>IF(P283="가입","가입","미가입")</x:f>
        <x:v>가입</x:v>
      </x:c>
    </x:row>
    <x:row r="284" ht="23" customHeight="1">
      <x:c r="A284" s="2" t="str">
        <x:v>C0744</x:v>
      </x:c>
      <x:c r="B284" s="7" t="n">
        <x:v>32</x:v>
      </x:c>
      <x:c r="C284" s="2" t="str">
        <x:f>INT(B284/10)*10&amp;"대"</x:f>
        <x:v>30대</x:v>
      </x:c>
      <x:c r="D284" s="2" t="str">
        <x:v>여성</x:v>
      </x:c>
      <x:c r="E284" s="7" t="n">
        <x:v>3000</x:v>
      </x:c>
      <x:c r="F284" s="7" t="n">
        <x:v>1</x:v>
      </x:c>
      <x:c r="G284" s="2" t="str">
        <x:v>기혼</x:v>
      </x:c>
      <x:c r="H284" s="7" t="n">
        <x:v>1</x:v>
      </x:c>
      <x:c r="I284" s="2" t="str">
        <x:f>IF(H284&lt;3,H284&amp;"명","3명 이상")</x:f>
        <x:v>1명</x:v>
      </x:c>
      <x:c r="J284" s="2" t="str">
        <x:v>비흡연</x:v>
      </x:c>
      <x:c r="K284" s="2" t="str">
        <x:v>없음</x:v>
      </x:c>
      <x:c r="L284" s="2" t="str">
        <x:v>암</x:v>
      </x:c>
      <x:c r="M284" s="2" t="str">
        <x:v>수호천사 암/건강보험</x:v>
      </x:c>
      <x:c r="N284" s="2" t="str">
        <x:f>VLOOKUP(M284,'분류기준'!$A$5:$B$8,2,FALSE)</x:f>
        <x:v>암/건강보험</x:v>
      </x:c>
      <x:c r="O284" s="2" t="str">
        <x:v>표적항암약물허가치료 특약</x:v>
      </x:c>
      <x:c r="P284" s="2" t="str">
        <x:f>IF(O284="선택 안함","선택 안함",IF(O284="특약 없음","특약 없음","가입"))</x:f>
        <x:v>가입</x:v>
      </x:c>
      <x:c r="Q284" s="2" t="str">
        <x:f>IF(P284="가입","가입","미가입")</x:f>
        <x:v>가입</x:v>
      </x:c>
    </x:row>
    <x:row r="285" ht="23" customHeight="1">
      <x:c r="A285" s="2" t="str">
        <x:v>C0801</x:v>
      </x:c>
      <x:c r="B285" s="7" t="n">
        <x:v>32</x:v>
      </x:c>
      <x:c r="C285" s="2" t="str">
        <x:f>INT(B285/10)*10&amp;"대"</x:f>
        <x:v>30대</x:v>
      </x:c>
      <x:c r="D285" s="2" t="str">
        <x:v>남성</x:v>
      </x:c>
      <x:c r="E285" s="7" t="n">
        <x:v>7500</x:v>
      </x:c>
      <x:c r="F285" s="7" t="n">
        <x:v>1</x:v>
      </x:c>
      <x:c r="G285" s="2" t="str">
        <x:v>미혼</x:v>
      </x:c>
      <x:c r="H285" s="7" t="n">
        <x:v>0</x:v>
      </x:c>
      <x:c r="I285" s="2" t="str">
        <x:f>IF(H285&lt;3,H285&amp;"명","3명 이상")</x:f>
        <x:v>0명</x:v>
      </x:c>
      <x:c r="J285" s="2" t="str">
        <x:v>비흡연</x:v>
      </x:c>
      <x:c r="K285" s="2" t="str">
        <x:v>없음</x:v>
      </x:c>
      <x:c r="L285" s="2" t="str">
        <x:v>없음</x:v>
      </x:c>
      <x:c r="M285" s="2" t="str">
        <x:v>수호천사 행복 연금보험</x:v>
      </x:c>
      <x:c r="N285" s="2" t="str">
        <x:f>VLOOKUP(M285,'분류기준'!$A$5:$B$8,2,FALSE)</x:f>
        <x:v>연금보험</x:v>
      </x:c>
      <x:c r="O285" s="2" t="str">
        <x:v>특약 없음</x:v>
      </x:c>
      <x:c r="P285" s="2" t="str">
        <x:f>IF(O285="선택 안함","선택 안함",IF(O285="특약 없음","특약 없음","가입"))</x:f>
        <x:v>특약 없음</x:v>
      </x:c>
      <x:c r="Q285" s="2" t="str">
        <x:f>IF(P285="가입","가입","미가입")</x:f>
        <x:v>미가입</x:v>
      </x:c>
    </x:row>
    <x:row r="286" ht="23" customHeight="1">
      <x:c r="A286" s="2" t="str">
        <x:v>C0886</x:v>
      </x:c>
      <x:c r="B286" s="7" t="n">
        <x:v>32</x:v>
      </x:c>
      <x:c r="C286" s="2" t="str">
        <x:f>INT(B286/10)*10&amp;"대"</x:f>
        <x:v>30대</x:v>
      </x:c>
      <x:c r="D286" s="2" t="str">
        <x:v>여성</x:v>
      </x:c>
      <x:c r="E286" s="7" t="n">
        <x:v>7500</x:v>
      </x:c>
      <x:c r="F286" s="7" t="n">
        <x:v>1</x:v>
      </x:c>
      <x:c r="G286" s="2" t="str">
        <x:v>기혼</x:v>
      </x:c>
      <x:c r="H286" s="7" t="n">
        <x:v>2</x:v>
      </x:c>
      <x:c r="I286" s="2" t="str">
        <x:f>IF(H286&lt;3,H286&amp;"명","3명 이상")</x:f>
        <x:v>2명</x:v>
      </x:c>
      <x:c r="J286" s="2" t="str">
        <x:v>비흡연</x:v>
      </x:c>
      <x:c r="K286" s="2" t="str">
        <x:v>없음</x:v>
      </x:c>
      <x:c r="L286" s="2" t="str">
        <x:v>없음</x:v>
      </x:c>
      <x:c r="M286" s="2" t="str">
        <x:v>수호천사 우리가족 종신보험</x:v>
      </x:c>
      <x:c r="N286" s="2" t="str">
        <x:f>VLOOKUP(M286,'분류기준'!$A$5:$B$8,2,FALSE)</x:f>
        <x:v>종신보험</x:v>
      </x:c>
      <x:c r="O286" s="2" t="str">
        <x:v>가족 수입 보장 특약</x:v>
      </x:c>
      <x:c r="P286" s="2" t="str">
        <x:f>IF(O286="선택 안함","선택 안함",IF(O286="특약 없음","특약 없음","가입"))</x:f>
        <x:v>가입</x:v>
      </x:c>
      <x:c r="Q286" s="2" t="str">
        <x:f>IF(P286="가입","가입","미가입")</x:f>
        <x:v>가입</x:v>
      </x:c>
    </x:row>
    <x:row r="287" ht="23" customHeight="1">
      <x:c r="A287" s="2" t="str">
        <x:v>C0963</x:v>
      </x:c>
      <x:c r="B287" s="7" t="n">
        <x:v>32</x:v>
      </x:c>
      <x:c r="C287" s="2" t="str">
        <x:f>INT(B287/10)*10&amp;"대"</x:f>
        <x:v>30대</x:v>
      </x:c>
      <x:c r="D287" s="2" t="str">
        <x:v>남성</x:v>
      </x:c>
      <x:c r="E287" s="7" t="n">
        <x:v>6000</x:v>
      </x:c>
      <x:c r="F287" s="7" t="n">
        <x:v>2</x:v>
      </x:c>
      <x:c r="G287" s="2" t="str">
        <x:v>기혼</x:v>
      </x:c>
      <x:c r="H287" s="7" t="n">
        <x:v>2</x:v>
      </x:c>
      <x:c r="I287" s="2" t="str">
        <x:f>IF(H287&lt;3,H287&amp;"명","3명 이상")</x:f>
        <x:v>2명</x:v>
      </x:c>
      <x:c r="J287" s="2" t="str">
        <x:v>비흡연</x:v>
      </x:c>
      <x:c r="K287" s="2" t="str">
        <x:v>없음</x:v>
      </x:c>
      <x:c r="L287" s="2" t="str">
        <x:v>암</x:v>
      </x:c>
      <x:c r="M287" s="2" t="str">
        <x:v>수호천사 우리가족 종신보험</x:v>
      </x:c>
      <x:c r="N287" s="2" t="str">
        <x:f>VLOOKUP(M287,'분류기준'!$A$5:$B$8,2,FALSE)</x:f>
        <x:v>종신보험</x:v>
      </x:c>
      <x:c r="O287" s="2" t="str">
        <x:v>가족 수입 보장 특약</x:v>
      </x:c>
      <x:c r="P287" s="2" t="str">
        <x:f>IF(O287="선택 안함","선택 안함",IF(O287="특약 없음","특약 없음","가입"))</x:f>
        <x:v>가입</x:v>
      </x:c>
      <x:c r="Q287" s="2" t="str">
        <x:f>IF(P287="가입","가입","미가입")</x:f>
        <x:v>가입</x:v>
      </x:c>
    </x:row>
    <x:row r="288" ht="23" customHeight="1">
      <x:c r="A288" s="2" t="str">
        <x:v>C0974</x:v>
      </x:c>
      <x:c r="B288" s="7" t="n">
        <x:v>32</x:v>
      </x:c>
      <x:c r="C288" s="2" t="str">
        <x:f>INT(B288/10)*10&amp;"대"</x:f>
        <x:v>30대</x:v>
      </x:c>
      <x:c r="D288" s="2" t="str">
        <x:v>여성</x:v>
      </x:c>
      <x:c r="E288" s="7" t="n">
        <x:v>6000</x:v>
      </x:c>
      <x:c r="F288" s="7" t="n">
        <x:v>1</x:v>
      </x:c>
      <x:c r="G288" s="2" t="str">
        <x:v>기혼</x:v>
      </x:c>
      <x:c r="H288" s="7" t="n">
        <x:v>2</x:v>
      </x:c>
      <x:c r="I288" s="2" t="str">
        <x:f>IF(H288&lt;3,H288&amp;"명","3명 이상")</x:f>
        <x:v>2명</x:v>
      </x:c>
      <x:c r="J288" s="2" t="str">
        <x:v>비흡연</x:v>
      </x:c>
      <x:c r="K288" s="2" t="str">
        <x:v>당뇨</x:v>
      </x:c>
      <x:c r="L288" s="2" t="str">
        <x:v>없음</x:v>
      </x:c>
      <x:c r="M288" s="2" t="str">
        <x:v>수호천사 간편심사(유병자)보험</x:v>
      </x:c>
      <x:c r="N288" s="2" t="str">
        <x:f>VLOOKUP(M288,'분류기준'!$A$5:$B$8,2,FALSE)</x:f>
        <x:v>간편심사보험</x:v>
      </x:c>
      <x:c r="O288" s="2" t="str">
        <x:v>중증질환 산정특례 보장 특약</x:v>
      </x:c>
      <x:c r="P288" s="2" t="str">
        <x:f>IF(O288="선택 안함","선택 안함",IF(O288="특약 없음","특약 없음","가입"))</x:f>
        <x:v>가입</x:v>
      </x:c>
      <x:c r="Q288" s="2" t="str">
        <x:f>IF(P288="가입","가입","미가입")</x:f>
        <x:v>가입</x:v>
      </x:c>
    </x:row>
    <x:row r="289" ht="23" customHeight="1">
      <x:c r="A289" s="2" t="str">
        <x:v>C0045</x:v>
      </x:c>
      <x:c r="B289" s="7" t="n">
        <x:v>33</x:v>
      </x:c>
      <x:c r="C289" s="2" t="str">
        <x:f>INT(B289/10)*10&amp;"대"</x:f>
        <x:v>30대</x:v>
      </x:c>
      <x:c r="D289" s="2" t="str">
        <x:v>여성</x:v>
      </x:c>
      <x:c r="E289" s="7" t="n">
        <x:v>7500</x:v>
      </x:c>
      <x:c r="F289" s="7" t="n">
        <x:v>1</x:v>
      </x:c>
      <x:c r="G289" s="2" t="str">
        <x:v>기혼</x:v>
      </x:c>
      <x:c r="H289" s="7" t="n">
        <x:v>1</x:v>
      </x:c>
      <x:c r="I289" s="2" t="str">
        <x:f>IF(H289&lt;3,H289&amp;"명","3명 이상")</x:f>
        <x:v>1명</x:v>
      </x:c>
      <x:c r="J289" s="2" t="str">
        <x:v>비흡연</x:v>
      </x:c>
      <x:c r="K289" s="2" t="str">
        <x:v>없음</x:v>
      </x:c>
      <x:c r="L289" s="2" t="str">
        <x:v>암</x:v>
      </x:c>
      <x:c r="M289" s="2" t="str">
        <x:v>수호천사 암/건강보험</x:v>
      </x:c>
      <x:c r="N289" s="2" t="str">
        <x:f>VLOOKUP(M289,'분류기준'!$A$5:$B$8,2,FALSE)</x:f>
        <x:v>암/건강보험</x:v>
      </x:c>
      <x:c r="O289" s="2" t="str">
        <x:v>표적항암약물허가치료 특약</x:v>
      </x:c>
      <x:c r="P289" s="2" t="str">
        <x:f>IF(O289="선택 안함","선택 안함",IF(O289="특약 없음","특약 없음","가입"))</x:f>
        <x:v>가입</x:v>
      </x:c>
      <x:c r="Q289" s="2" t="str">
        <x:f>IF(P289="가입","가입","미가입")</x:f>
        <x:v>가입</x:v>
      </x:c>
    </x:row>
    <x:row r="290" ht="23" customHeight="1">
      <x:c r="A290" s="2" t="str">
        <x:v>C0055</x:v>
      </x:c>
      <x:c r="B290" s="7" t="n">
        <x:v>33</x:v>
      </x:c>
      <x:c r="C290" s="2" t="str">
        <x:f>INT(B290/10)*10&amp;"대"</x:f>
        <x:v>30대</x:v>
      </x:c>
      <x:c r="D290" s="2" t="str">
        <x:v>여성</x:v>
      </x:c>
      <x:c r="E290" s="7" t="n">
        <x:v>3000</x:v>
      </x:c>
      <x:c r="F290" s="7" t="n">
        <x:v>2</x:v>
      </x:c>
      <x:c r="G290" s="2" t="str">
        <x:v>기혼</x:v>
      </x:c>
      <x:c r="H290" s="7" t="n">
        <x:v>1</x:v>
      </x:c>
      <x:c r="I290" s="2" t="str">
        <x:f>IF(H290&lt;3,H290&amp;"명","3명 이상")</x:f>
        <x:v>1명</x:v>
      </x:c>
      <x:c r="J290" s="2" t="str">
        <x:v>비흡연</x:v>
      </x:c>
      <x:c r="K290" s="2" t="str">
        <x:v>없음</x:v>
      </x:c>
      <x:c r="L290" s="2" t="str">
        <x:v>암</x:v>
      </x:c>
      <x:c r="M290" s="2" t="str">
        <x:v>수호천사 암/건강보험</x:v>
      </x:c>
      <x:c r="N290" s="2" t="str">
        <x:f>VLOOKUP(M290,'분류기준'!$A$5:$B$8,2,FALSE)</x:f>
        <x:v>암/건강보험</x:v>
      </x:c>
      <x:c r="O290" s="2" t="str">
        <x:v>수술비 보장 특약</x:v>
      </x:c>
      <x:c r="P290" s="2" t="str">
        <x:f>IF(O290="선택 안함","선택 안함",IF(O290="특약 없음","특약 없음","가입"))</x:f>
        <x:v>가입</x:v>
      </x:c>
      <x:c r="Q290" s="2" t="str">
        <x:f>IF(P290="가입","가입","미가입")</x:f>
        <x:v>가입</x:v>
      </x:c>
    </x:row>
    <x:row r="291" ht="23" customHeight="1">
      <x:c r="A291" s="2" t="str">
        <x:v>C0071</x:v>
      </x:c>
      <x:c r="B291" s="7" t="n">
        <x:v>33</x:v>
      </x:c>
      <x:c r="C291" s="2" t="str">
        <x:f>INT(B291/10)*10&amp;"대"</x:f>
        <x:v>30대</x:v>
      </x:c>
      <x:c r="D291" s="2" t="str">
        <x:v>남성</x:v>
      </x:c>
      <x:c r="E291" s="7" t="n">
        <x:v>3000</x:v>
      </x:c>
      <x:c r="F291" s="7" t="n">
        <x:v>1</x:v>
      </x:c>
      <x:c r="G291" s="2" t="str">
        <x:v>기혼</x:v>
      </x:c>
      <x:c r="H291" s="7" t="n">
        <x:v>0</x:v>
      </x:c>
      <x:c r="I291" s="2" t="str">
        <x:f>IF(H291&lt;3,H291&amp;"명","3명 이상")</x:f>
        <x:v>0명</x:v>
      </x:c>
      <x:c r="J291" s="2" t="str">
        <x:v>비흡연</x:v>
      </x:c>
      <x:c r="K291" s="2" t="str">
        <x:v>당뇨</x:v>
      </x:c>
      <x:c r="L291" s="2" t="str">
        <x:v>암</x:v>
      </x:c>
      <x:c r="M291" s="2" t="str">
        <x:v>수호천사 간편심사(유병자)보험</x:v>
      </x:c>
      <x:c r="N291" s="2" t="str">
        <x:f>VLOOKUP(M291,'분류기준'!$A$5:$B$8,2,FALSE)</x:f>
        <x:v>간편심사보험</x:v>
      </x:c>
      <x:c r="O291" s="2" t="str">
        <x:v>중증질환 산정특례 보장 특약</x:v>
      </x:c>
      <x:c r="P291" s="2" t="str">
        <x:f>IF(O291="선택 안함","선택 안함",IF(O291="특약 없음","특약 없음","가입"))</x:f>
        <x:v>가입</x:v>
      </x:c>
      <x:c r="Q291" s="2" t="str">
        <x:f>IF(P291="가입","가입","미가입")</x:f>
        <x:v>가입</x:v>
      </x:c>
    </x:row>
    <x:row r="292" ht="23" customHeight="1">
      <x:c r="A292" s="2" t="str">
        <x:v>C0075</x:v>
      </x:c>
      <x:c r="B292" s="7" t="n">
        <x:v>33</x:v>
      </x:c>
      <x:c r="C292" s="2" t="str">
        <x:f>INT(B292/10)*10&amp;"대"</x:f>
        <x:v>30대</x:v>
      </x:c>
      <x:c r="D292" s="2" t="str">
        <x:v>여성</x:v>
      </x:c>
      <x:c r="E292" s="7" t="n">
        <x:v>7500</x:v>
      </x:c>
      <x:c r="F292" s="7" t="n">
        <x:v>1</x:v>
      </x:c>
      <x:c r="G292" s="2" t="str">
        <x:v>기혼</x:v>
      </x:c>
      <x:c r="H292" s="7" t="n">
        <x:v>2</x:v>
      </x:c>
      <x:c r="I292" s="2" t="str">
        <x:f>IF(H292&lt;3,H292&amp;"명","3명 이상")</x:f>
        <x:v>2명</x:v>
      </x:c>
      <x:c r="J292" s="2" t="str">
        <x:v>비흡연</x:v>
      </x:c>
      <x:c r="K292" s="2" t="str">
        <x:v>없음</x:v>
      </x:c>
      <x:c r="L292" s="2" t="str">
        <x:v>암</x:v>
      </x:c>
      <x:c r="M292" s="2" t="str">
        <x:v>수호천사 간편심사(유병자)보험</x:v>
      </x:c>
      <x:c r="N292" s="2" t="str">
        <x:f>VLOOKUP(M292,'분류기준'!$A$5:$B$8,2,FALSE)</x:f>
        <x:v>간편심사보험</x:v>
      </x:c>
      <x:c r="O292" s="2" t="str">
        <x:v>중증질환 산정특례 보장 특약</x:v>
      </x:c>
      <x:c r="P292" s="2" t="str">
        <x:f>IF(O292="선택 안함","선택 안함",IF(O292="특약 없음","특약 없음","가입"))</x:f>
        <x:v>가입</x:v>
      </x:c>
      <x:c r="Q292" s="2" t="str">
        <x:f>IF(P292="가입","가입","미가입")</x:f>
        <x:v>가입</x:v>
      </x:c>
    </x:row>
    <x:row r="293" ht="23" customHeight="1">
      <x:c r="A293" s="2" t="str">
        <x:v>C0128</x:v>
      </x:c>
      <x:c r="B293" s="7" t="n">
        <x:v>33</x:v>
      </x:c>
      <x:c r="C293" s="2" t="str">
        <x:f>INT(B293/10)*10&amp;"대"</x:f>
        <x:v>30대</x:v>
      </x:c>
      <x:c r="D293" s="2" t="str">
        <x:v>남성</x:v>
      </x:c>
      <x:c r="E293" s="7" t="n">
        <x:v>6000</x:v>
      </x:c>
      <x:c r="F293" s="7" t="n">
        <x:v>2</x:v>
      </x:c>
      <x:c r="G293" s="2" t="str">
        <x:v>기혼</x:v>
      </x:c>
      <x:c r="H293" s="7" t="n">
        <x:v>2</x:v>
      </x:c>
      <x:c r="I293" s="2" t="str">
        <x:f>IF(H293&lt;3,H293&amp;"명","3명 이상")</x:f>
        <x:v>2명</x:v>
      </x:c>
      <x:c r="J293" s="2" t="str">
        <x:v>비흡연</x:v>
      </x:c>
      <x:c r="K293" s="2" t="str">
        <x:v>없음</x:v>
      </x:c>
      <x:c r="L293" s="2" t="str">
        <x:v>없음</x:v>
      </x:c>
      <x:c r="M293" s="2" t="str">
        <x:v>수호천사 우리가족 종신보험</x:v>
      </x:c>
      <x:c r="N293" s="2" t="str">
        <x:f>VLOOKUP(M293,'분류기준'!$A$5:$B$8,2,FALSE)</x:f>
        <x:v>종신보험</x:v>
      </x:c>
      <x:c r="O293" s="2" t="str">
        <x:v>가족 수입 보장 특약</x:v>
      </x:c>
      <x:c r="P293" s="2" t="str">
        <x:f>IF(O293="선택 안함","선택 안함",IF(O293="특약 없음","특약 없음","가입"))</x:f>
        <x:v>가입</x:v>
      </x:c>
      <x:c r="Q293" s="2" t="str">
        <x:f>IF(P293="가입","가입","미가입")</x:f>
        <x:v>가입</x:v>
      </x:c>
    </x:row>
    <x:row r="294" ht="23" customHeight="1">
      <x:c r="A294" s="2" t="str">
        <x:v>C0133</x:v>
      </x:c>
      <x:c r="B294" s="7" t="n">
        <x:v>33</x:v>
      </x:c>
      <x:c r="C294" s="2" t="str">
        <x:f>INT(B294/10)*10&amp;"대"</x:f>
        <x:v>30대</x:v>
      </x:c>
      <x:c r="D294" s="2" t="str">
        <x:v>여성</x:v>
      </x:c>
      <x:c r="E294" s="7" t="n">
        <x:v>5000</x:v>
      </x:c>
      <x:c r="F294" s="7" t="n">
        <x:v>2</x:v>
      </x:c>
      <x:c r="G294" s="2" t="str">
        <x:v>기혼</x:v>
      </x:c>
      <x:c r="H294" s="7" t="n">
        <x:v>2</x:v>
      </x:c>
      <x:c r="I294" s="2" t="str">
        <x:f>IF(H294&lt;3,H294&amp;"명","3명 이상")</x:f>
        <x:v>2명</x:v>
      </x:c>
      <x:c r="J294" s="2" t="str">
        <x:v>비흡연</x:v>
      </x:c>
      <x:c r="K294" s="2" t="str">
        <x:v>없음</x:v>
      </x:c>
      <x:c r="L294" s="2" t="str">
        <x:v>없음</x:v>
      </x:c>
      <x:c r="M294" s="2" t="str">
        <x:v>수호천사 우리가족 종신보험</x:v>
      </x:c>
      <x:c r="N294" s="2" t="str">
        <x:f>VLOOKUP(M294,'분류기준'!$A$5:$B$8,2,FALSE)</x:f>
        <x:v>종신보험</x:v>
      </x:c>
      <x:c r="O294" s="2" t="str">
        <x:v>가족 수입 보장 특약</x:v>
      </x:c>
      <x:c r="P294" s="2" t="str">
        <x:f>IF(O294="선택 안함","선택 안함",IF(O294="특약 없음","특약 없음","가입"))</x:f>
        <x:v>가입</x:v>
      </x:c>
      <x:c r="Q294" s="2" t="str">
        <x:f>IF(P294="가입","가입","미가입")</x:f>
        <x:v>가입</x:v>
      </x:c>
    </x:row>
    <x:row r="295" ht="23" customHeight="1">
      <x:c r="A295" s="2" t="str">
        <x:v>C0298</x:v>
      </x:c>
      <x:c r="B295" s="7" t="n">
        <x:v>33</x:v>
      </x:c>
      <x:c r="C295" s="2" t="str">
        <x:f>INT(B295/10)*10&amp;"대"</x:f>
        <x:v>30대</x:v>
      </x:c>
      <x:c r="D295" s="2" t="str">
        <x:v>여성</x:v>
      </x:c>
      <x:c r="E295" s="7" t="n">
        <x:v>3000</x:v>
      </x:c>
      <x:c r="F295" s="7" t="n">
        <x:v>1</x:v>
      </x:c>
      <x:c r="G295" s="2" t="str">
        <x:v>미혼</x:v>
      </x:c>
      <x:c r="H295" s="7" t="n">
        <x:v>0</x:v>
      </x:c>
      <x:c r="I295" s="2" t="str">
        <x:f>IF(H295&lt;3,H295&amp;"명","3명 이상")</x:f>
        <x:v>0명</x:v>
      </x:c>
      <x:c r="J295" s="2" t="str">
        <x:v>비흡연</x:v>
      </x:c>
      <x:c r="K295" s="2" t="str">
        <x:v>없음</x:v>
      </x:c>
      <x:c r="L295" s="2" t="str">
        <x:v>없음</x:v>
      </x:c>
      <x:c r="M295" s="2" t="str">
        <x:v>수호천사 간편심사(유병자)보험</x:v>
      </x:c>
      <x:c r="N295" s="2" t="str">
        <x:f>VLOOKUP(M295,'분류기준'!$A$5:$B$8,2,FALSE)</x:f>
        <x:v>간편심사보험</x:v>
      </x:c>
      <x:c r="O295" s="2" t="str">
        <x:v>중증질환 산정특례 보장 특약</x:v>
      </x:c>
      <x:c r="P295" s="2" t="str">
        <x:f>IF(O295="선택 안함","선택 안함",IF(O295="특약 없음","특약 없음","가입"))</x:f>
        <x:v>가입</x:v>
      </x:c>
      <x:c r="Q295" s="2" t="str">
        <x:f>IF(P295="가입","가입","미가입")</x:f>
        <x:v>가입</x:v>
      </x:c>
    </x:row>
    <x:row r="296" ht="23" customHeight="1">
      <x:c r="A296" s="2" t="str">
        <x:v>C0385</x:v>
      </x:c>
      <x:c r="B296" s="7" t="n">
        <x:v>33</x:v>
      </x:c>
      <x:c r="C296" s="2" t="str">
        <x:f>INT(B296/10)*10&amp;"대"</x:f>
        <x:v>30대</x:v>
      </x:c>
      <x:c r="D296" s="2" t="str">
        <x:v>남성</x:v>
      </x:c>
      <x:c r="E296" s="7" t="n">
        <x:v>7500</x:v>
      </x:c>
      <x:c r="F296" s="7" t="n">
        <x:v>3</x:v>
      </x:c>
      <x:c r="G296" s="2" t="str">
        <x:v>미혼</x:v>
      </x:c>
      <x:c r="H296" s="7" t="n">
        <x:v>0</x:v>
      </x:c>
      <x:c r="I296" s="2" t="str">
        <x:f>IF(H296&lt;3,H296&amp;"명","3명 이상")</x:f>
        <x:v>0명</x:v>
      </x:c>
      <x:c r="J296" s="2" t="str">
        <x:v>비흡연</x:v>
      </x:c>
      <x:c r="K296" s="2" t="str">
        <x:v>없음</x:v>
      </x:c>
      <x:c r="L296" s="2" t="str">
        <x:v>없음</x:v>
      </x:c>
      <x:c r="M296" s="2" t="str">
        <x:v>수호천사 행복 연금보험</x:v>
      </x:c>
      <x:c r="N296" s="2" t="str">
        <x:f>VLOOKUP(M296,'분류기준'!$A$5:$B$8,2,FALSE)</x:f>
        <x:v>연금보험</x:v>
      </x:c>
      <x:c r="O296" s="2" t="str">
        <x:v>특약 없음</x:v>
      </x:c>
      <x:c r="P296" s="2" t="str">
        <x:f>IF(O296="선택 안함","선택 안함",IF(O296="특약 없음","특약 없음","가입"))</x:f>
        <x:v>특약 없음</x:v>
      </x:c>
      <x:c r="Q296" s="2" t="str">
        <x:f>IF(P296="가입","가입","미가입")</x:f>
        <x:v>미가입</x:v>
      </x:c>
    </x:row>
    <x:row r="297" ht="23" customHeight="1">
      <x:c r="A297" s="2" t="str">
        <x:v>C0450</x:v>
      </x:c>
      <x:c r="B297" s="7" t="n">
        <x:v>33</x:v>
      </x:c>
      <x:c r="C297" s="2" t="str">
        <x:f>INT(B297/10)*10&amp;"대"</x:f>
        <x:v>30대</x:v>
      </x:c>
      <x:c r="D297" s="2" t="str">
        <x:v>남성</x:v>
      </x:c>
      <x:c r="E297" s="7" t="n">
        <x:v>3000</x:v>
      </x:c>
      <x:c r="F297" s="7" t="n">
        <x:v>1</x:v>
      </x:c>
      <x:c r="G297" s="2" t="str">
        <x:v>기혼</x:v>
      </x:c>
      <x:c r="H297" s="7" t="n">
        <x:v>1</x:v>
      </x:c>
      <x:c r="I297" s="2" t="str">
        <x:f>IF(H297&lt;3,H297&amp;"명","3명 이상")</x:f>
        <x:v>1명</x:v>
      </x:c>
      <x:c r="J297" s="2" t="str">
        <x:v>흡연</x:v>
      </x:c>
      <x:c r="K297" s="2" t="str">
        <x:v>없음</x:v>
      </x:c>
      <x:c r="L297" s="2" t="str">
        <x:v>없음</x:v>
      </x:c>
      <x:c r="M297" s="2" t="str">
        <x:v>수호천사 암/건강보험</x:v>
      </x:c>
      <x:c r="N297" s="2" t="str">
        <x:f>VLOOKUP(M297,'분류기준'!$A$5:$B$8,2,FALSE)</x:f>
        <x:v>암/건강보험</x:v>
      </x:c>
      <x:c r="O297" s="2" t="str">
        <x:v>수술비 보장 특약</x:v>
      </x:c>
      <x:c r="P297" s="2" t="str">
        <x:f>IF(O297="선택 안함","선택 안함",IF(O297="특약 없음","특약 없음","가입"))</x:f>
        <x:v>가입</x:v>
      </x:c>
      <x:c r="Q297" s="2" t="str">
        <x:f>IF(P297="가입","가입","미가입")</x:f>
        <x:v>가입</x:v>
      </x:c>
    </x:row>
    <x:row r="298" ht="23" customHeight="1">
      <x:c r="A298" s="2" t="str">
        <x:v>C0563</x:v>
      </x:c>
      <x:c r="B298" s="7" t="n">
        <x:v>33</x:v>
      </x:c>
      <x:c r="C298" s="2" t="str">
        <x:f>INT(B298/10)*10&amp;"대"</x:f>
        <x:v>30대</x:v>
      </x:c>
      <x:c r="D298" s="2" t="str">
        <x:v>여성</x:v>
      </x:c>
      <x:c r="E298" s="7" t="n">
        <x:v>5000</x:v>
      </x:c>
      <x:c r="F298" s="7" t="n">
        <x:v>1</x:v>
      </x:c>
      <x:c r="G298" s="2" t="str">
        <x:v>기혼</x:v>
      </x:c>
      <x:c r="H298" s="7" t="n">
        <x:v>1</x:v>
      </x:c>
      <x:c r="I298" s="2" t="str">
        <x:f>IF(H298&lt;3,H298&amp;"명","3명 이상")</x:f>
        <x:v>1명</x:v>
      </x:c>
      <x:c r="J298" s="2" t="str">
        <x:v>흡연</x:v>
      </x:c>
      <x:c r="K298" s="2" t="str">
        <x:v>없음</x:v>
      </x:c>
      <x:c r="L298" s="2" t="str">
        <x:v>심혈관</x:v>
      </x:c>
      <x:c r="M298" s="2" t="str">
        <x:v>수호천사 암/건강보험</x:v>
      </x:c>
      <x:c r="N298" s="2" t="str">
        <x:f>VLOOKUP(M298,'분류기준'!$A$5:$B$8,2,FALSE)</x:f>
        <x:v>암/건강보험</x:v>
      </x:c>
      <x:c r="O298" s="2" t="str">
        <x:v>수술비 보장 특약</x:v>
      </x:c>
      <x:c r="P298" s="2" t="str">
        <x:f>IF(O298="선택 안함","선택 안함",IF(O298="특약 없음","특약 없음","가입"))</x:f>
        <x:v>가입</x:v>
      </x:c>
      <x:c r="Q298" s="2" t="str">
        <x:f>IF(P298="가입","가입","미가입")</x:f>
        <x:v>가입</x:v>
      </x:c>
    </x:row>
    <x:row r="299" ht="23" customHeight="1">
      <x:c r="A299" s="2" t="str">
        <x:v>C0579</x:v>
      </x:c>
      <x:c r="B299" s="7" t="n">
        <x:v>33</x:v>
      </x:c>
      <x:c r="C299" s="2" t="str">
        <x:f>INT(B299/10)*10&amp;"대"</x:f>
        <x:v>30대</x:v>
      </x:c>
      <x:c r="D299" s="2" t="str">
        <x:v>여성</x:v>
      </x:c>
      <x:c r="E299" s="7" t="n">
        <x:v>4000</x:v>
      </x:c>
      <x:c r="F299" s="7" t="n">
        <x:v>3</x:v>
      </x:c>
      <x:c r="G299" s="2" t="str">
        <x:v>기혼</x:v>
      </x:c>
      <x:c r="H299" s="7" t="n">
        <x:v>0</x:v>
      </x:c>
      <x:c r="I299" s="2" t="str">
        <x:f>IF(H299&lt;3,H299&amp;"명","3명 이상")</x:f>
        <x:v>0명</x:v>
      </x:c>
      <x:c r="J299" s="2" t="str">
        <x:v>비흡연</x:v>
      </x:c>
      <x:c r="K299" s="2" t="str">
        <x:v>없음</x:v>
      </x:c>
      <x:c r="L299" s="2" t="str">
        <x:v>없음</x:v>
      </x:c>
      <x:c r="M299" s="2" t="str">
        <x:v>수호천사 행복 연금보험</x:v>
      </x:c>
      <x:c r="N299" s="2" t="str">
        <x:f>VLOOKUP(M299,'분류기준'!$A$5:$B$8,2,FALSE)</x:f>
        <x:v>연금보험</x:v>
      </x:c>
      <x:c r="O299" s="2" t="str">
        <x:v>특약 없음</x:v>
      </x:c>
      <x:c r="P299" s="2" t="str">
        <x:f>IF(O299="선택 안함","선택 안함",IF(O299="특약 없음","특약 없음","가입"))</x:f>
        <x:v>특약 없음</x:v>
      </x:c>
      <x:c r="Q299" s="2" t="str">
        <x:f>IF(P299="가입","가입","미가입")</x:f>
        <x:v>미가입</x:v>
      </x:c>
    </x:row>
    <x:row r="300" ht="23" customHeight="1">
      <x:c r="A300" s="2" t="str">
        <x:v>C0659</x:v>
      </x:c>
      <x:c r="B300" s="7" t="n">
        <x:v>33</x:v>
      </x:c>
      <x:c r="C300" s="2" t="str">
        <x:f>INT(B300/10)*10&amp;"대"</x:f>
        <x:v>30대</x:v>
      </x:c>
      <x:c r="D300" s="2" t="str">
        <x:v>남성</x:v>
      </x:c>
      <x:c r="E300" s="7" t="n">
        <x:v>5000</x:v>
      </x:c>
      <x:c r="F300" s="7" t="n">
        <x:v>1</x:v>
      </x:c>
      <x:c r="G300" s="2" t="str">
        <x:v>기혼</x:v>
      </x:c>
      <x:c r="H300" s="7" t="n">
        <x:v>2</x:v>
      </x:c>
      <x:c r="I300" s="2" t="str">
        <x:f>IF(H300&lt;3,H300&amp;"명","3명 이상")</x:f>
        <x:v>2명</x:v>
      </x:c>
      <x:c r="J300" s="2" t="str">
        <x:v>비흡연</x:v>
      </x:c>
      <x:c r="K300" s="2" t="str">
        <x:v>없음</x:v>
      </x:c>
      <x:c r="L300" s="2" t="str">
        <x:v>없음</x:v>
      </x:c>
      <x:c r="M300" s="2" t="str">
        <x:v>수호천사 우리가족 종신보험</x:v>
      </x:c>
      <x:c r="N300" s="2" t="str">
        <x:f>VLOOKUP(M300,'분류기준'!$A$5:$B$8,2,FALSE)</x:f>
        <x:v>종신보험</x:v>
      </x:c>
      <x:c r="O300" s="2" t="str">
        <x:v>가족 수입 보장 특약</x:v>
      </x:c>
      <x:c r="P300" s="2" t="str">
        <x:f>IF(O300="선택 안함","선택 안함",IF(O300="특약 없음","특약 없음","가입"))</x:f>
        <x:v>가입</x:v>
      </x:c>
      <x:c r="Q300" s="2" t="str">
        <x:f>IF(P300="가입","가입","미가입")</x:f>
        <x:v>가입</x:v>
      </x:c>
    </x:row>
    <x:row r="301" ht="23" customHeight="1">
      <x:c r="A301" s="2" t="str">
        <x:v>C0739</x:v>
      </x:c>
      <x:c r="B301" s="7" t="n">
        <x:v>33</x:v>
      </x:c>
      <x:c r="C301" s="2" t="str">
        <x:f>INT(B301/10)*10&amp;"대"</x:f>
        <x:v>30대</x:v>
      </x:c>
      <x:c r="D301" s="2" t="str">
        <x:v>여성</x:v>
      </x:c>
      <x:c r="E301" s="7" t="n">
        <x:v>4000</x:v>
      </x:c>
      <x:c r="F301" s="7" t="n">
        <x:v>2</x:v>
      </x:c>
      <x:c r="G301" s="2" t="str">
        <x:v>미혼</x:v>
      </x:c>
      <x:c r="H301" s="7" t="n">
        <x:v>0</x:v>
      </x:c>
      <x:c r="I301" s="2" t="str">
        <x:f>IF(H301&lt;3,H301&amp;"명","3명 이상")</x:f>
        <x:v>0명</x:v>
      </x:c>
      <x:c r="J301" s="2" t="str">
        <x:v>흡연</x:v>
      </x:c>
      <x:c r="K301" s="2" t="str">
        <x:v>없음</x:v>
      </x:c>
      <x:c r="L301" s="2" t="str">
        <x:v>없음</x:v>
      </x:c>
      <x:c r="M301" s="2" t="str">
        <x:v>수호천사 우리가족 종신보험</x:v>
      </x:c>
      <x:c r="N301" s="2" t="str">
        <x:f>VLOOKUP(M301,'분류기준'!$A$5:$B$8,2,FALSE)</x:f>
        <x:v>종신보험</x:v>
      </x:c>
      <x:c r="O301" s="2" t="str">
        <x:v>가족 수입 보장 특약</x:v>
      </x:c>
      <x:c r="P301" s="2" t="str">
        <x:f>IF(O301="선택 안함","선택 안함",IF(O301="특약 없음","특약 없음","가입"))</x:f>
        <x:v>가입</x:v>
      </x:c>
      <x:c r="Q301" s="2" t="str">
        <x:f>IF(P301="가입","가입","미가입")</x:f>
        <x:v>가입</x:v>
      </x:c>
    </x:row>
    <x:row r="302" ht="23" customHeight="1">
      <x:c r="A302" s="2" t="str">
        <x:v>C0768</x:v>
      </x:c>
      <x:c r="B302" s="7" t="n">
        <x:v>33</x:v>
      </x:c>
      <x:c r="C302" s="2" t="str">
        <x:f>INT(B302/10)*10&amp;"대"</x:f>
        <x:v>30대</x:v>
      </x:c>
      <x:c r="D302" s="2" t="str">
        <x:v>여성</x:v>
      </x:c>
      <x:c r="E302" s="7" t="n">
        <x:v>5000</x:v>
      </x:c>
      <x:c r="F302" s="7" t="n">
        <x:v>3</x:v>
      </x:c>
      <x:c r="G302" s="2" t="str">
        <x:v>기혼</x:v>
      </x:c>
      <x:c r="H302" s="7" t="n">
        <x:v>2</x:v>
      </x:c>
      <x:c r="I302" s="2" t="str">
        <x:f>IF(H302&lt;3,H302&amp;"명","3명 이상")</x:f>
        <x:v>2명</x:v>
      </x:c>
      <x:c r="J302" s="2" t="str">
        <x:v>비흡연</x:v>
      </x:c>
      <x:c r="K302" s="2" t="str">
        <x:v>없음</x:v>
      </x:c>
      <x:c r="L302" s="2" t="str">
        <x:v>암</x:v>
      </x:c>
      <x:c r="M302" s="2" t="str">
        <x:v>수호천사 암/건강보험</x:v>
      </x:c>
      <x:c r="N302" s="2" t="str">
        <x:f>VLOOKUP(M302,'분류기준'!$A$5:$B$8,2,FALSE)</x:f>
        <x:v>암/건강보험</x:v>
      </x:c>
      <x:c r="O302" s="2" t="str">
        <x:v>표적항암약물허가치료 특약</x:v>
      </x:c>
      <x:c r="P302" s="2" t="str">
        <x:f>IF(O302="선택 안함","선택 안함",IF(O302="특약 없음","특약 없음","가입"))</x:f>
        <x:v>가입</x:v>
      </x:c>
      <x:c r="Q302" s="2" t="str">
        <x:f>IF(P302="가입","가입","미가입")</x:f>
        <x:v>가입</x:v>
      </x:c>
    </x:row>
    <x:row r="303" ht="23" customHeight="1">
      <x:c r="A303" s="2" t="str">
        <x:v>C0837</x:v>
      </x:c>
      <x:c r="B303" s="7" t="n">
        <x:v>33</x:v>
      </x:c>
      <x:c r="C303" s="2" t="str">
        <x:f>INT(B303/10)*10&amp;"대"</x:f>
        <x:v>30대</x:v>
      </x:c>
      <x:c r="D303" s="2" t="str">
        <x:v>여성</x:v>
      </x:c>
      <x:c r="E303" s="7" t="n">
        <x:v>7500</x:v>
      </x:c>
      <x:c r="F303" s="7" t="n">
        <x:v>3</x:v>
      </x:c>
      <x:c r="G303" s="2" t="str">
        <x:v>미혼</x:v>
      </x:c>
      <x:c r="H303" s="7" t="n">
        <x:v>0</x:v>
      </x:c>
      <x:c r="I303" s="2" t="str">
        <x:f>IF(H303&lt;3,H303&amp;"명","3명 이상")</x:f>
        <x:v>0명</x:v>
      </x:c>
      <x:c r="J303" s="2" t="str">
        <x:v>흡연</x:v>
      </x:c>
      <x:c r="K303" s="2" t="str">
        <x:v>없음</x:v>
      </x:c>
      <x:c r="L303" s="2" t="str">
        <x:v>없음</x:v>
      </x:c>
      <x:c r="M303" s="2" t="str">
        <x:v>수호천사 암/건강보험</x:v>
      </x:c>
      <x:c r="N303" s="2" t="str">
        <x:f>VLOOKUP(M303,'분류기준'!$A$5:$B$8,2,FALSE)</x:f>
        <x:v>암/건강보험</x:v>
      </x:c>
      <x:c r="O303" s="2" t="str">
        <x:v>표적항암약물허가치료 특약</x:v>
      </x:c>
      <x:c r="P303" s="2" t="str">
        <x:f>IF(O303="선택 안함","선택 안함",IF(O303="특약 없음","특약 없음","가입"))</x:f>
        <x:v>가입</x:v>
      </x:c>
      <x:c r="Q303" s="2" t="str">
        <x:f>IF(P303="가입","가입","미가입")</x:f>
        <x:v>가입</x:v>
      </x:c>
    </x:row>
    <x:row r="304" ht="23" customHeight="1">
      <x:c r="A304" s="2" t="str">
        <x:v>C0854</x:v>
      </x:c>
      <x:c r="B304" s="7" t="n">
        <x:v>33</x:v>
      </x:c>
      <x:c r="C304" s="2" t="str">
        <x:f>INT(B304/10)*10&amp;"대"</x:f>
        <x:v>30대</x:v>
      </x:c>
      <x:c r="D304" s="2" t="str">
        <x:v>남성</x:v>
      </x:c>
      <x:c r="E304" s="7" t="n">
        <x:v>3000</x:v>
      </x:c>
      <x:c r="F304" s="7" t="n">
        <x:v>1</x:v>
      </x:c>
      <x:c r="G304" s="2" t="str">
        <x:v>기혼</x:v>
      </x:c>
      <x:c r="H304" s="7" t="n">
        <x:v>1</x:v>
      </x:c>
      <x:c r="I304" s="2" t="str">
        <x:f>IF(H304&lt;3,H304&amp;"명","3명 이상")</x:f>
        <x:v>1명</x:v>
      </x:c>
      <x:c r="J304" s="2" t="str">
        <x:v>비흡연</x:v>
      </x:c>
      <x:c r="K304" s="2" t="str">
        <x:v>없음</x:v>
      </x:c>
      <x:c r="L304" s="2" t="str">
        <x:v>심혈관</x:v>
      </x:c>
      <x:c r="M304" s="2" t="str">
        <x:v>수호천사 암/건강보험</x:v>
      </x:c>
      <x:c r="N304" s="2" t="str">
        <x:f>VLOOKUP(M304,'분류기준'!$A$5:$B$8,2,FALSE)</x:f>
        <x:v>암/건강보험</x:v>
      </x:c>
      <x:c r="O304" s="2" t="str">
        <x:v>선택 안함</x:v>
      </x:c>
      <x:c r="P304" s="2" t="str">
        <x:f>IF(O304="선택 안함","선택 안함",IF(O304="특약 없음","특약 없음","가입"))</x:f>
        <x:v>선택 안함</x:v>
      </x:c>
      <x:c r="Q304" s="2" t="str">
        <x:f>IF(P304="가입","가입","미가입")</x:f>
        <x:v>미가입</x:v>
      </x:c>
    </x:row>
    <x:row r="305" ht="23" customHeight="1">
      <x:c r="A305" s="2" t="str">
        <x:v>C0858</x:v>
      </x:c>
      <x:c r="B305" s="7" t="n">
        <x:v>33</x:v>
      </x:c>
      <x:c r="C305" s="2" t="str">
        <x:f>INT(B305/10)*10&amp;"대"</x:f>
        <x:v>30대</x:v>
      </x:c>
      <x:c r="D305" s="2" t="str">
        <x:v>남성</x:v>
      </x:c>
      <x:c r="E305" s="7" t="n">
        <x:v>3000</x:v>
      </x:c>
      <x:c r="F305" s="7" t="n">
        <x:v>1</x:v>
      </x:c>
      <x:c r="G305" s="2" t="str">
        <x:v>기혼</x:v>
      </x:c>
      <x:c r="H305" s="7" t="n">
        <x:v>1</x:v>
      </x:c>
      <x:c r="I305" s="2" t="str">
        <x:f>IF(H305&lt;3,H305&amp;"명","3명 이상")</x:f>
        <x:v>1명</x:v>
      </x:c>
      <x:c r="J305" s="2" t="str">
        <x:v>비흡연</x:v>
      </x:c>
      <x:c r="K305" s="2" t="str">
        <x:v>없음</x:v>
      </x:c>
      <x:c r="L305" s="2" t="str">
        <x:v>암</x:v>
      </x:c>
      <x:c r="M305" s="2" t="str">
        <x:v>수호천사 우리가족 종신보험</x:v>
      </x:c>
      <x:c r="N305" s="2" t="str">
        <x:f>VLOOKUP(M305,'분류기준'!$A$5:$B$8,2,FALSE)</x:f>
        <x:v>종신보험</x:v>
      </x:c>
      <x:c r="O305" s="2" t="str">
        <x:v>가족 수입 보장 특약</x:v>
      </x:c>
      <x:c r="P305" s="2" t="str">
        <x:f>IF(O305="선택 안함","선택 안함",IF(O305="특약 없음","특약 없음","가입"))</x:f>
        <x:v>가입</x:v>
      </x:c>
      <x:c r="Q305" s="2" t="str">
        <x:f>IF(P305="가입","가입","미가입")</x:f>
        <x:v>가입</x:v>
      </x:c>
    </x:row>
    <x:row r="306" ht="23" customHeight="1">
      <x:c r="A306" s="2" t="str">
        <x:v>C0863</x:v>
      </x:c>
      <x:c r="B306" s="7" t="n">
        <x:v>33</x:v>
      </x:c>
      <x:c r="C306" s="2" t="str">
        <x:f>INT(B306/10)*10&amp;"대"</x:f>
        <x:v>30대</x:v>
      </x:c>
      <x:c r="D306" s="2" t="str">
        <x:v>여성</x:v>
      </x:c>
      <x:c r="E306" s="7" t="n">
        <x:v>5000</x:v>
      </x:c>
      <x:c r="F306" s="7" t="n">
        <x:v>1</x:v>
      </x:c>
      <x:c r="G306" s="2" t="str">
        <x:v>기혼</x:v>
      </x:c>
      <x:c r="H306" s="7" t="n">
        <x:v>1</x:v>
      </x:c>
      <x:c r="I306" s="2" t="str">
        <x:f>IF(H306&lt;3,H306&amp;"명","3명 이상")</x:f>
        <x:v>1명</x:v>
      </x:c>
      <x:c r="J306" s="2" t="str">
        <x:v>비흡연</x:v>
      </x:c>
      <x:c r="K306" s="2" t="str">
        <x:v>없음</x:v>
      </x:c>
      <x:c r="L306" s="2" t="str">
        <x:v>없음</x:v>
      </x:c>
      <x:c r="M306" s="2" t="str">
        <x:v>수호천사 우리가족 종신보험</x:v>
      </x:c>
      <x:c r="N306" s="2" t="str">
        <x:f>VLOOKUP(M306,'분류기준'!$A$5:$B$8,2,FALSE)</x:f>
        <x:v>종신보험</x:v>
      </x:c>
      <x:c r="O306" s="2" t="str">
        <x:v>가족 수입 보장 특약</x:v>
      </x:c>
      <x:c r="P306" s="2" t="str">
        <x:f>IF(O306="선택 안함","선택 안함",IF(O306="특약 없음","특약 없음","가입"))</x:f>
        <x:v>가입</x:v>
      </x:c>
      <x:c r="Q306" s="2" t="str">
        <x:f>IF(P306="가입","가입","미가입")</x:f>
        <x:v>가입</x:v>
      </x:c>
    </x:row>
    <x:row r="307" ht="23" customHeight="1">
      <x:c r="A307" s="2" t="str">
        <x:v>C0958</x:v>
      </x:c>
      <x:c r="B307" s="7" t="n">
        <x:v>33</x:v>
      </x:c>
      <x:c r="C307" s="2" t="str">
        <x:f>INT(B307/10)*10&amp;"대"</x:f>
        <x:v>30대</x:v>
      </x:c>
      <x:c r="D307" s="2" t="str">
        <x:v>여성</x:v>
      </x:c>
      <x:c r="E307" s="7" t="n">
        <x:v>3000</x:v>
      </x:c>
      <x:c r="F307" s="7" t="n">
        <x:v>1</x:v>
      </x:c>
      <x:c r="G307" s="2" t="str">
        <x:v>미혼</x:v>
      </x:c>
      <x:c r="H307" s="7" t="n">
        <x:v>0</x:v>
      </x:c>
      <x:c r="I307" s="2" t="str">
        <x:f>IF(H307&lt;3,H307&amp;"명","3명 이상")</x:f>
        <x:v>0명</x:v>
      </x:c>
      <x:c r="J307" s="2" t="str">
        <x:v>흡연</x:v>
      </x:c>
      <x:c r="K307" s="2" t="str">
        <x:v>없음</x:v>
      </x:c>
      <x:c r="L307" s="2" t="str">
        <x:v>없음</x:v>
      </x:c>
      <x:c r="M307" s="2" t="str">
        <x:v>수호천사 암/건강보험</x:v>
      </x:c>
      <x:c r="N307" s="2" t="str">
        <x:f>VLOOKUP(M307,'분류기준'!$A$5:$B$8,2,FALSE)</x:f>
        <x:v>암/건강보험</x:v>
      </x:c>
      <x:c r="O307" s="2" t="str">
        <x:v>수술비 보장 특약</x:v>
      </x:c>
      <x:c r="P307" s="2" t="str">
        <x:f>IF(O307="선택 안함","선택 안함",IF(O307="특약 없음","특약 없음","가입"))</x:f>
        <x:v>가입</x:v>
      </x:c>
      <x:c r="Q307" s="2" t="str">
        <x:f>IF(P307="가입","가입","미가입")</x:f>
        <x:v>가입</x:v>
      </x:c>
    </x:row>
    <x:row r="308" ht="23" customHeight="1">
      <x:c r="A308" s="2" t="str">
        <x:v>C0992</x:v>
      </x:c>
      <x:c r="B308" s="7" t="n">
        <x:v>33</x:v>
      </x:c>
      <x:c r="C308" s="2" t="str">
        <x:f>INT(B308/10)*10&amp;"대"</x:f>
        <x:v>30대</x:v>
      </x:c>
      <x:c r="D308" s="2" t="str">
        <x:v>남성</x:v>
      </x:c>
      <x:c r="E308" s="7" t="n">
        <x:v>5000</x:v>
      </x:c>
      <x:c r="F308" s="7" t="n">
        <x:v>2</x:v>
      </x:c>
      <x:c r="G308" s="2" t="str">
        <x:v>미혼</x:v>
      </x:c>
      <x:c r="H308" s="7" t="n">
        <x:v>0</x:v>
      </x:c>
      <x:c r="I308" s="2" t="str">
        <x:f>IF(H308&lt;3,H308&amp;"명","3명 이상")</x:f>
        <x:v>0명</x:v>
      </x:c>
      <x:c r="J308" s="2" t="str">
        <x:v>흡연</x:v>
      </x:c>
      <x:c r="K308" s="2" t="str">
        <x:v>없음</x:v>
      </x:c>
      <x:c r="L308" s="2" t="str">
        <x:v>없음</x:v>
      </x:c>
      <x:c r="M308" s="2" t="str">
        <x:v>수호천사 행복 연금보험</x:v>
      </x:c>
      <x:c r="N308" s="2" t="str">
        <x:f>VLOOKUP(M308,'분류기준'!$A$5:$B$8,2,FALSE)</x:f>
        <x:v>연금보험</x:v>
      </x:c>
      <x:c r="O308" s="2" t="str">
        <x:v>특약 없음</x:v>
      </x:c>
      <x:c r="P308" s="2" t="str">
        <x:f>IF(O308="선택 안함","선택 안함",IF(O308="특약 없음","특약 없음","가입"))</x:f>
        <x:v>특약 없음</x:v>
      </x:c>
      <x:c r="Q308" s="2" t="str">
        <x:f>IF(P308="가입","가입","미가입")</x:f>
        <x:v>미가입</x:v>
      </x:c>
    </x:row>
    <x:row r="309" ht="23" customHeight="1">
      <x:c r="A309" s="2" t="str">
        <x:v>C0003</x:v>
      </x:c>
      <x:c r="B309" s="7" t="n">
        <x:v>34</x:v>
      </x:c>
      <x:c r="C309" s="2" t="str">
        <x:f>INT(B309/10)*10&amp;"대"</x:f>
        <x:v>30대</x:v>
      </x:c>
      <x:c r="D309" s="2" t="str">
        <x:v>여성</x:v>
      </x:c>
      <x:c r="E309" s="7" t="n">
        <x:v>5000</x:v>
      </x:c>
      <x:c r="F309" s="7" t="n">
        <x:v>2</x:v>
      </x:c>
      <x:c r="G309" s="2" t="str">
        <x:v>미혼</x:v>
      </x:c>
      <x:c r="H309" s="7" t="n">
        <x:v>0</x:v>
      </x:c>
      <x:c r="I309" s="2" t="str">
        <x:f>IF(H309&lt;3,H309&amp;"명","3명 이상")</x:f>
        <x:v>0명</x:v>
      </x:c>
      <x:c r="J309" s="2" t="str">
        <x:v>비흡연</x:v>
      </x:c>
      <x:c r="K309" s="2" t="str">
        <x:v>없음</x:v>
      </x:c>
      <x:c r="L309" s="2" t="str">
        <x:v>암</x:v>
      </x:c>
      <x:c r="M309" s="2" t="str">
        <x:v>수호천사 행복 연금보험</x:v>
      </x:c>
      <x:c r="N309" s="2" t="str">
        <x:f>VLOOKUP(M309,'분류기준'!$A$5:$B$8,2,FALSE)</x:f>
        <x:v>연금보험</x:v>
      </x:c>
      <x:c r="O309" s="2" t="str">
        <x:v>특약 없음</x:v>
      </x:c>
      <x:c r="P309" s="2" t="str">
        <x:f>IF(O309="선택 안함","선택 안함",IF(O309="특약 없음","특약 없음","가입"))</x:f>
        <x:v>특약 없음</x:v>
      </x:c>
      <x:c r="Q309" s="2" t="str">
        <x:f>IF(P309="가입","가입","미가입")</x:f>
        <x:v>미가입</x:v>
      </x:c>
    </x:row>
    <x:row r="310" ht="23" customHeight="1">
      <x:c r="A310" s="2" t="str">
        <x:v>C0034</x:v>
      </x:c>
      <x:c r="B310" s="7" t="n">
        <x:v>34</x:v>
      </x:c>
      <x:c r="C310" s="2" t="str">
        <x:f>INT(B310/10)*10&amp;"대"</x:f>
        <x:v>30대</x:v>
      </x:c>
      <x:c r="D310" s="2" t="str">
        <x:v>남성</x:v>
      </x:c>
      <x:c r="E310" s="7" t="n">
        <x:v>3000</x:v>
      </x:c>
      <x:c r="F310" s="7" t="n">
        <x:v>1</x:v>
      </x:c>
      <x:c r="G310" s="2" t="str">
        <x:v>기혼</x:v>
      </x:c>
      <x:c r="H310" s="7" t="n">
        <x:v>1</x:v>
      </x:c>
      <x:c r="I310" s="2" t="str">
        <x:f>IF(H310&lt;3,H310&amp;"명","3명 이상")</x:f>
        <x:v>1명</x:v>
      </x:c>
      <x:c r="J310" s="2" t="str">
        <x:v>비흡연</x:v>
      </x:c>
      <x:c r="K310" s="2" t="str">
        <x:v>없음</x:v>
      </x:c>
      <x:c r="L310" s="2" t="str">
        <x:v>없음</x:v>
      </x:c>
      <x:c r="M310" s="2" t="str">
        <x:v>수호천사 우리가족 종신보험</x:v>
      </x:c>
      <x:c r="N310" s="2" t="str">
        <x:f>VLOOKUP(M310,'분류기준'!$A$5:$B$8,2,FALSE)</x:f>
        <x:v>종신보험</x:v>
      </x:c>
      <x:c r="O310" s="2" t="str">
        <x:v>가족 수입 보장 특약</x:v>
      </x:c>
      <x:c r="P310" s="2" t="str">
        <x:f>IF(O310="선택 안함","선택 안함",IF(O310="특약 없음","특약 없음","가입"))</x:f>
        <x:v>가입</x:v>
      </x:c>
      <x:c r="Q310" s="2" t="str">
        <x:f>IF(P310="가입","가입","미가입")</x:f>
        <x:v>가입</x:v>
      </x:c>
    </x:row>
    <x:row r="311" ht="23" customHeight="1">
      <x:c r="A311" s="2" t="str">
        <x:v>C0073</x:v>
      </x:c>
      <x:c r="B311" s="7" t="n">
        <x:v>34</x:v>
      </x:c>
      <x:c r="C311" s="2" t="str">
        <x:f>INT(B311/10)*10&amp;"대"</x:f>
        <x:v>30대</x:v>
      </x:c>
      <x:c r="D311" s="2" t="str">
        <x:v>여성</x:v>
      </x:c>
      <x:c r="E311" s="7" t="n">
        <x:v>6000</x:v>
      </x:c>
      <x:c r="F311" s="7" t="n">
        <x:v>1</x:v>
      </x:c>
      <x:c r="G311" s="2" t="str">
        <x:v>기혼</x:v>
      </x:c>
      <x:c r="H311" s="7" t="n">
        <x:v>1</x:v>
      </x:c>
      <x:c r="I311" s="2" t="str">
        <x:f>IF(H311&lt;3,H311&amp;"명","3명 이상")</x:f>
        <x:v>1명</x:v>
      </x:c>
      <x:c r="J311" s="2" t="str">
        <x:v>흡연</x:v>
      </x:c>
      <x:c r="K311" s="2" t="str">
        <x:v>없음</x:v>
      </x:c>
      <x:c r="L311" s="2" t="str">
        <x:v>암</x:v>
      </x:c>
      <x:c r="M311" s="2" t="str">
        <x:v>수호천사 암/건강보험</x:v>
      </x:c>
      <x:c r="N311" s="2" t="str">
        <x:f>VLOOKUP(M311,'분류기준'!$A$5:$B$8,2,FALSE)</x:f>
        <x:v>암/건강보험</x:v>
      </x:c>
      <x:c r="O311" s="2" t="str">
        <x:v>표적항암약물허가치료 특약</x:v>
      </x:c>
      <x:c r="P311" s="2" t="str">
        <x:f>IF(O311="선택 안함","선택 안함",IF(O311="특약 없음","특약 없음","가입"))</x:f>
        <x:v>가입</x:v>
      </x:c>
      <x:c r="Q311" s="2" t="str">
        <x:f>IF(P311="가입","가입","미가입")</x:f>
        <x:v>가입</x:v>
      </x:c>
    </x:row>
    <x:row r="312" ht="23" customHeight="1">
      <x:c r="A312" s="2" t="str">
        <x:v>C0088</x:v>
      </x:c>
      <x:c r="B312" s="7" t="n">
        <x:v>34</x:v>
      </x:c>
      <x:c r="C312" s="2" t="str">
        <x:f>INT(B312/10)*10&amp;"대"</x:f>
        <x:v>30대</x:v>
      </x:c>
      <x:c r="D312" s="2" t="str">
        <x:v>남성</x:v>
      </x:c>
      <x:c r="E312" s="7" t="n">
        <x:v>7500</x:v>
      </x:c>
      <x:c r="F312" s="7" t="n">
        <x:v>1</x:v>
      </x:c>
      <x:c r="G312" s="2" t="str">
        <x:v>기혼</x:v>
      </x:c>
      <x:c r="H312" s="7" t="n">
        <x:v>1</x:v>
      </x:c>
      <x:c r="I312" s="2" t="str">
        <x:f>IF(H312&lt;3,H312&amp;"명","3명 이상")</x:f>
        <x:v>1명</x:v>
      </x:c>
      <x:c r="J312" s="2" t="str">
        <x:v>흡연</x:v>
      </x:c>
      <x:c r="K312" s="2" t="str">
        <x:v>없음</x:v>
      </x:c>
      <x:c r="L312" s="2" t="str">
        <x:v>없음</x:v>
      </x:c>
      <x:c r="M312" s="2" t="str">
        <x:v>수호천사 우리가족 종신보험</x:v>
      </x:c>
      <x:c r="N312" s="2" t="str">
        <x:f>VLOOKUP(M312,'분류기준'!$A$5:$B$8,2,FALSE)</x:f>
        <x:v>종신보험</x:v>
      </x:c>
      <x:c r="O312" s="2" t="str">
        <x:v>가족 수입 보장 특약</x:v>
      </x:c>
      <x:c r="P312" s="2" t="str">
        <x:f>IF(O312="선택 안함","선택 안함",IF(O312="특약 없음","특약 없음","가입"))</x:f>
        <x:v>가입</x:v>
      </x:c>
      <x:c r="Q312" s="2" t="str">
        <x:f>IF(P312="가입","가입","미가입")</x:f>
        <x:v>가입</x:v>
      </x:c>
    </x:row>
    <x:row r="313" ht="23" customHeight="1">
      <x:c r="A313" s="2" t="str">
        <x:v>C0137</x:v>
      </x:c>
      <x:c r="B313" s="7" t="n">
        <x:v>34</x:v>
      </x:c>
      <x:c r="C313" s="2" t="str">
        <x:f>INT(B313/10)*10&amp;"대"</x:f>
        <x:v>30대</x:v>
      </x:c>
      <x:c r="D313" s="2" t="str">
        <x:v>남성</x:v>
      </x:c>
      <x:c r="E313" s="7" t="n">
        <x:v>5000</x:v>
      </x:c>
      <x:c r="F313" s="7" t="n">
        <x:v>1</x:v>
      </x:c>
      <x:c r="G313" s="2" t="str">
        <x:v>기혼</x:v>
      </x:c>
      <x:c r="H313" s="7" t="n">
        <x:v>0</x:v>
      </x:c>
      <x:c r="I313" s="2" t="str">
        <x:f>IF(H313&lt;3,H313&amp;"명","3명 이상")</x:f>
        <x:v>0명</x:v>
      </x:c>
      <x:c r="J313" s="2" t="str">
        <x:v>비흡연</x:v>
      </x:c>
      <x:c r="K313" s="2" t="str">
        <x:v>고혈압</x:v>
      </x:c>
      <x:c r="L313" s="2" t="str">
        <x:v>심혈관</x:v>
      </x:c>
      <x:c r="M313" s="2" t="str">
        <x:v>수호천사 간편심사(유병자)보험</x:v>
      </x:c>
      <x:c r="N313" s="2" t="str">
        <x:f>VLOOKUP(M313,'분류기준'!$A$5:$B$8,2,FALSE)</x:f>
        <x:v>간편심사보험</x:v>
      </x:c>
      <x:c r="O313" s="2" t="str">
        <x:v>선택 안함</x:v>
      </x:c>
      <x:c r="P313" s="2" t="str">
        <x:f>IF(O313="선택 안함","선택 안함",IF(O313="특약 없음","특약 없음","가입"))</x:f>
        <x:v>선택 안함</x:v>
      </x:c>
      <x:c r="Q313" s="2" t="str">
        <x:f>IF(P313="가입","가입","미가입")</x:f>
        <x:v>미가입</x:v>
      </x:c>
    </x:row>
    <x:row r="314" ht="23" customHeight="1">
      <x:c r="A314" s="2" t="str">
        <x:v>C0138</x:v>
      </x:c>
      <x:c r="B314" s="7" t="n">
        <x:v>34</x:v>
      </x:c>
      <x:c r="C314" s="2" t="str">
        <x:f>INT(B314/10)*10&amp;"대"</x:f>
        <x:v>30대</x:v>
      </x:c>
      <x:c r="D314" s="2" t="str">
        <x:v>여성</x:v>
      </x:c>
      <x:c r="E314" s="7" t="n">
        <x:v>3000</x:v>
      </x:c>
      <x:c r="F314" s="7" t="n">
        <x:v>1</x:v>
      </x:c>
      <x:c r="G314" s="2" t="str">
        <x:v>미혼</x:v>
      </x:c>
      <x:c r="H314" s="7" t="n">
        <x:v>0</x:v>
      </x:c>
      <x:c r="I314" s="2" t="str">
        <x:f>IF(H314&lt;3,H314&amp;"명","3명 이상")</x:f>
        <x:v>0명</x:v>
      </x:c>
      <x:c r="J314" s="2" t="str">
        <x:v>흡연</x:v>
      </x:c>
      <x:c r="K314" s="2" t="str">
        <x:v>고혈압</x:v>
      </x:c>
      <x:c r="L314" s="2" t="str">
        <x:v>암</x:v>
      </x:c>
      <x:c r="M314" s="2" t="str">
        <x:v>수호천사 간편심사(유병자)보험</x:v>
      </x:c>
      <x:c r="N314" s="2" t="str">
        <x:f>VLOOKUP(M314,'분류기준'!$A$5:$B$8,2,FALSE)</x:f>
        <x:v>간편심사보험</x:v>
      </x:c>
      <x:c r="O314" s="2" t="str">
        <x:v>중증질환 산정특례 보장 특약</x:v>
      </x:c>
      <x:c r="P314" s="2" t="str">
        <x:f>IF(O314="선택 안함","선택 안함",IF(O314="특약 없음","특약 없음","가입"))</x:f>
        <x:v>가입</x:v>
      </x:c>
      <x:c r="Q314" s="2" t="str">
        <x:f>IF(P314="가입","가입","미가입")</x:f>
        <x:v>가입</x:v>
      </x:c>
    </x:row>
    <x:row r="315" ht="23" customHeight="1">
      <x:c r="A315" s="2" t="str">
        <x:v>C0151</x:v>
      </x:c>
      <x:c r="B315" s="7" t="n">
        <x:v>34</x:v>
      </x:c>
      <x:c r="C315" s="2" t="str">
        <x:f>INT(B315/10)*10&amp;"대"</x:f>
        <x:v>30대</x:v>
      </x:c>
      <x:c r="D315" s="2" t="str">
        <x:v>여성</x:v>
      </x:c>
      <x:c r="E315" s="7" t="n">
        <x:v>4000</x:v>
      </x:c>
      <x:c r="F315" s="7" t="n">
        <x:v>2</x:v>
      </x:c>
      <x:c r="G315" s="2" t="str">
        <x:v>기혼</x:v>
      </x:c>
      <x:c r="H315" s="7" t="n">
        <x:v>1</x:v>
      </x:c>
      <x:c r="I315" s="2" t="str">
        <x:f>IF(H315&lt;3,H315&amp;"명","3명 이상")</x:f>
        <x:v>1명</x:v>
      </x:c>
      <x:c r="J315" s="2" t="str">
        <x:v>비흡연</x:v>
      </x:c>
      <x:c r="K315" s="2" t="str">
        <x:v>없음</x:v>
      </x:c>
      <x:c r="L315" s="2" t="str">
        <x:v>없음</x:v>
      </x:c>
      <x:c r="M315" s="2" t="str">
        <x:v>수호천사 우리가족 종신보험</x:v>
      </x:c>
      <x:c r="N315" s="2" t="str">
        <x:f>VLOOKUP(M315,'분류기준'!$A$5:$B$8,2,FALSE)</x:f>
        <x:v>종신보험</x:v>
      </x:c>
      <x:c r="O315" s="2" t="str">
        <x:v>선택 안함</x:v>
      </x:c>
      <x:c r="P315" s="2" t="str">
        <x:f>IF(O315="선택 안함","선택 안함",IF(O315="특약 없음","특약 없음","가입"))</x:f>
        <x:v>선택 안함</x:v>
      </x:c>
      <x:c r="Q315" s="2" t="str">
        <x:f>IF(P315="가입","가입","미가입")</x:f>
        <x:v>미가입</x:v>
      </x:c>
    </x:row>
    <x:row r="316" ht="23" customHeight="1">
      <x:c r="A316" s="2" t="str">
        <x:v>C0190</x:v>
      </x:c>
      <x:c r="B316" s="7" t="n">
        <x:v>34</x:v>
      </x:c>
      <x:c r="C316" s="2" t="str">
        <x:f>INT(B316/10)*10&amp;"대"</x:f>
        <x:v>30대</x:v>
      </x:c>
      <x:c r="D316" s="2" t="str">
        <x:v>남성</x:v>
      </x:c>
      <x:c r="E316" s="7" t="n">
        <x:v>3000</x:v>
      </x:c>
      <x:c r="F316" s="7" t="n">
        <x:v>1</x:v>
      </x:c>
      <x:c r="G316" s="2" t="str">
        <x:v>미혼</x:v>
      </x:c>
      <x:c r="H316" s="7" t="n">
        <x:v>0</x:v>
      </x:c>
      <x:c r="I316" s="2" t="str">
        <x:f>IF(H316&lt;3,H316&amp;"명","3명 이상")</x:f>
        <x:v>0명</x:v>
      </x:c>
      <x:c r="J316" s="2" t="str">
        <x:v>비흡연</x:v>
      </x:c>
      <x:c r="K316" s="2" t="str">
        <x:v>없음</x:v>
      </x:c>
      <x:c r="L316" s="2" t="str">
        <x:v>암</x:v>
      </x:c>
      <x:c r="M316" s="2" t="str">
        <x:v>수호천사 우리가족 종신보험</x:v>
      </x:c>
      <x:c r="N316" s="2" t="str">
        <x:f>VLOOKUP(M316,'분류기준'!$A$5:$B$8,2,FALSE)</x:f>
        <x:v>종신보험</x:v>
      </x:c>
      <x:c r="O316" s="2" t="str">
        <x:v>선택 안함</x:v>
      </x:c>
      <x:c r="P316" s="2" t="str">
        <x:f>IF(O316="선택 안함","선택 안함",IF(O316="특약 없음","특약 없음","가입"))</x:f>
        <x:v>선택 안함</x:v>
      </x:c>
      <x:c r="Q316" s="2" t="str">
        <x:f>IF(P316="가입","가입","미가입")</x:f>
        <x:v>미가입</x:v>
      </x:c>
    </x:row>
    <x:row r="317" ht="23" customHeight="1">
      <x:c r="A317" s="2" t="str">
        <x:v>C0388</x:v>
      </x:c>
      <x:c r="B317" s="7" t="n">
        <x:v>34</x:v>
      </x:c>
      <x:c r="C317" s="2" t="str">
        <x:f>INT(B317/10)*10&amp;"대"</x:f>
        <x:v>30대</x:v>
      </x:c>
      <x:c r="D317" s="2" t="str">
        <x:v>남성</x:v>
      </x:c>
      <x:c r="E317" s="7" t="n">
        <x:v>5000</x:v>
      </x:c>
      <x:c r="F317" s="7" t="n">
        <x:v>1</x:v>
      </x:c>
      <x:c r="G317" s="2" t="str">
        <x:v>기혼</x:v>
      </x:c>
      <x:c r="H317" s="7" t="n">
        <x:v>1</x:v>
      </x:c>
      <x:c r="I317" s="2" t="str">
        <x:f>IF(H317&lt;3,H317&amp;"명","3명 이상")</x:f>
        <x:v>1명</x:v>
      </x:c>
      <x:c r="J317" s="2" t="str">
        <x:v>흡연</x:v>
      </x:c>
      <x:c r="K317" s="2" t="str">
        <x:v>고혈압</x:v>
      </x:c>
      <x:c r="L317" s="2" t="str">
        <x:v>암</x:v>
      </x:c>
      <x:c r="M317" s="2" t="str">
        <x:v>수호천사 간편심사(유병자)보험</x:v>
      </x:c>
      <x:c r="N317" s="2" t="str">
        <x:f>VLOOKUP(M317,'분류기준'!$A$5:$B$8,2,FALSE)</x:f>
        <x:v>간편심사보험</x:v>
      </x:c>
      <x:c r="O317" s="2" t="str">
        <x:v>중증질환 산정특례 보장 특약</x:v>
      </x:c>
      <x:c r="P317" s="2" t="str">
        <x:f>IF(O317="선택 안함","선택 안함",IF(O317="특약 없음","특약 없음","가입"))</x:f>
        <x:v>가입</x:v>
      </x:c>
      <x:c r="Q317" s="2" t="str">
        <x:f>IF(P317="가입","가입","미가입")</x:f>
        <x:v>가입</x:v>
      </x:c>
    </x:row>
    <x:row r="318" ht="23" customHeight="1">
      <x:c r="A318" s="2" t="str">
        <x:v>C0400</x:v>
      </x:c>
      <x:c r="B318" s="7" t="n">
        <x:v>34</x:v>
      </x:c>
      <x:c r="C318" s="2" t="str">
        <x:f>INT(B318/10)*10&amp;"대"</x:f>
        <x:v>30대</x:v>
      </x:c>
      <x:c r="D318" s="2" t="str">
        <x:v>남성</x:v>
      </x:c>
      <x:c r="E318" s="7" t="n">
        <x:v>12000</x:v>
      </x:c>
      <x:c r="F318" s="7" t="n">
        <x:v>1</x:v>
      </x:c>
      <x:c r="G318" s="2" t="str">
        <x:v>기혼</x:v>
      </x:c>
      <x:c r="H318" s="7" t="n">
        <x:v>1</x:v>
      </x:c>
      <x:c r="I318" s="2" t="str">
        <x:f>IF(H318&lt;3,H318&amp;"명","3명 이상")</x:f>
        <x:v>1명</x:v>
      </x:c>
      <x:c r="J318" s="2" t="str">
        <x:v>흡연</x:v>
      </x:c>
      <x:c r="K318" s="2" t="str">
        <x:v>없음</x:v>
      </x:c>
      <x:c r="L318" s="2" t="str">
        <x:v>암</x:v>
      </x:c>
      <x:c r="M318" s="2" t="str">
        <x:v>수호천사 우리가족 종신보험</x:v>
      </x:c>
      <x:c r="N318" s="2" t="str">
        <x:f>VLOOKUP(M318,'분류기준'!$A$5:$B$8,2,FALSE)</x:f>
        <x:v>종신보험</x:v>
      </x:c>
      <x:c r="O318" s="2" t="str">
        <x:v>가족 수입 보장 특약</x:v>
      </x:c>
      <x:c r="P318" s="2" t="str">
        <x:f>IF(O318="선택 안함","선택 안함",IF(O318="특약 없음","특약 없음","가입"))</x:f>
        <x:v>가입</x:v>
      </x:c>
      <x:c r="Q318" s="2" t="str">
        <x:f>IF(P318="가입","가입","미가입")</x:f>
        <x:v>가입</x:v>
      </x:c>
    </x:row>
    <x:row r="319" ht="23" customHeight="1">
      <x:c r="A319" s="2" t="str">
        <x:v>C0660</x:v>
      </x:c>
      <x:c r="B319" s="7" t="n">
        <x:v>34</x:v>
      </x:c>
      <x:c r="C319" s="2" t="str">
        <x:f>INT(B319/10)*10&amp;"대"</x:f>
        <x:v>30대</x:v>
      </x:c>
      <x:c r="D319" s="2" t="str">
        <x:v>남성</x:v>
      </x:c>
      <x:c r="E319" s="7" t="n">
        <x:v>6000</x:v>
      </x:c>
      <x:c r="F319" s="7" t="n">
        <x:v>1</x:v>
      </x:c>
      <x:c r="G319" s="2" t="str">
        <x:v>기혼</x:v>
      </x:c>
      <x:c r="H319" s="7" t="n">
        <x:v>2</x:v>
      </x:c>
      <x:c r="I319" s="2" t="str">
        <x:f>IF(H319&lt;3,H319&amp;"명","3명 이상")</x:f>
        <x:v>2명</x:v>
      </x:c>
      <x:c r="J319" s="2" t="str">
        <x:v>흡연</x:v>
      </x:c>
      <x:c r="K319" s="2" t="str">
        <x:v>없음</x:v>
      </x:c>
      <x:c r="L319" s="2" t="str">
        <x:v>암</x:v>
      </x:c>
      <x:c r="M319" s="2" t="str">
        <x:v>수호천사 암/건강보험</x:v>
      </x:c>
      <x:c r="N319" s="2" t="str">
        <x:f>VLOOKUP(M319,'분류기준'!$A$5:$B$8,2,FALSE)</x:f>
        <x:v>암/건강보험</x:v>
      </x:c>
      <x:c r="O319" s="2" t="str">
        <x:v>수술비 보장 특약</x:v>
      </x:c>
      <x:c r="P319" s="2" t="str">
        <x:f>IF(O319="선택 안함","선택 안함",IF(O319="특약 없음","특약 없음","가입"))</x:f>
        <x:v>가입</x:v>
      </x:c>
      <x:c r="Q319" s="2" t="str">
        <x:f>IF(P319="가입","가입","미가입")</x:f>
        <x:v>가입</x:v>
      </x:c>
    </x:row>
    <x:row r="320" ht="23" customHeight="1">
      <x:c r="A320" s="2" t="str">
        <x:v>C0765</x:v>
      </x:c>
      <x:c r="B320" s="7" t="n">
        <x:v>34</x:v>
      </x:c>
      <x:c r="C320" s="2" t="str">
        <x:f>INT(B320/10)*10&amp;"대"</x:f>
        <x:v>30대</x:v>
      </x:c>
      <x:c r="D320" s="2" t="str">
        <x:v>남성</x:v>
      </x:c>
      <x:c r="E320" s="7" t="n">
        <x:v>5000</x:v>
      </x:c>
      <x:c r="F320" s="7" t="n">
        <x:v>2</x:v>
      </x:c>
      <x:c r="G320" s="2" t="str">
        <x:v>기혼</x:v>
      </x:c>
      <x:c r="H320" s="7" t="n">
        <x:v>1</x:v>
      </x:c>
      <x:c r="I320" s="2" t="str">
        <x:f>IF(H320&lt;3,H320&amp;"명","3명 이상")</x:f>
        <x:v>1명</x:v>
      </x:c>
      <x:c r="J320" s="2" t="str">
        <x:v>비흡연</x:v>
      </x:c>
      <x:c r="K320" s="2" t="str">
        <x:v>없음</x:v>
      </x:c>
      <x:c r="L320" s="2" t="str">
        <x:v>암</x:v>
      </x:c>
      <x:c r="M320" s="2" t="str">
        <x:v>수호천사 우리가족 종신보험</x:v>
      </x:c>
      <x:c r="N320" s="2" t="str">
        <x:f>VLOOKUP(M320,'분류기준'!$A$5:$B$8,2,FALSE)</x:f>
        <x:v>종신보험</x:v>
      </x:c>
      <x:c r="O320" s="2" t="str">
        <x:v>가족 수입 보장 특약</x:v>
      </x:c>
      <x:c r="P320" s="2" t="str">
        <x:f>IF(O320="선택 안함","선택 안함",IF(O320="특약 없음","특약 없음","가입"))</x:f>
        <x:v>가입</x:v>
      </x:c>
      <x:c r="Q320" s="2" t="str">
        <x:f>IF(P320="가입","가입","미가입")</x:f>
        <x:v>가입</x:v>
      </x:c>
    </x:row>
    <x:row r="321" ht="23" customHeight="1">
      <x:c r="A321" s="2" t="str">
        <x:v>C0778</x:v>
      </x:c>
      <x:c r="B321" s="7" t="n">
        <x:v>34</x:v>
      </x:c>
      <x:c r="C321" s="2" t="str">
        <x:f>INT(B321/10)*10&amp;"대"</x:f>
        <x:v>30대</x:v>
      </x:c>
      <x:c r="D321" s="2" t="str">
        <x:v>여성</x:v>
      </x:c>
      <x:c r="E321" s="7" t="n">
        <x:v>5000</x:v>
      </x:c>
      <x:c r="F321" s="7" t="n">
        <x:v>2</x:v>
      </x:c>
      <x:c r="G321" s="2" t="str">
        <x:v>미혼</x:v>
      </x:c>
      <x:c r="H321" s="7" t="n">
        <x:v>0</x:v>
      </x:c>
      <x:c r="I321" s="2" t="str">
        <x:f>IF(H321&lt;3,H321&amp;"명","3명 이상")</x:f>
        <x:v>0명</x:v>
      </x:c>
      <x:c r="J321" s="2" t="str">
        <x:v>흡연</x:v>
      </x:c>
      <x:c r="K321" s="2" t="str">
        <x:v>고혈압</x:v>
      </x:c>
      <x:c r="L321" s="2" t="str">
        <x:v>없음</x:v>
      </x:c>
      <x:c r="M321" s="2" t="str">
        <x:v>수호천사 행복 연금보험</x:v>
      </x:c>
      <x:c r="N321" s="2" t="str">
        <x:f>VLOOKUP(M321,'분류기준'!$A$5:$B$8,2,FALSE)</x:f>
        <x:v>연금보험</x:v>
      </x:c>
      <x:c r="O321" s="2" t="str">
        <x:v>특약 없음</x:v>
      </x:c>
      <x:c r="P321" s="2" t="str">
        <x:f>IF(O321="선택 안함","선택 안함",IF(O321="특약 없음","특약 없음","가입"))</x:f>
        <x:v>특약 없음</x:v>
      </x:c>
      <x:c r="Q321" s="2" t="str">
        <x:f>IF(P321="가입","가입","미가입")</x:f>
        <x:v>미가입</x:v>
      </x:c>
    </x:row>
    <x:row r="322" ht="23" customHeight="1">
      <x:c r="A322" s="2" t="str">
        <x:v>C0784</x:v>
      </x:c>
      <x:c r="B322" s="7" t="n">
        <x:v>34</x:v>
      </x:c>
      <x:c r="C322" s="2" t="str">
        <x:f>INT(B322/10)*10&amp;"대"</x:f>
        <x:v>30대</x:v>
      </x:c>
      <x:c r="D322" s="2" t="str">
        <x:v>남성</x:v>
      </x:c>
      <x:c r="E322" s="7" t="n">
        <x:v>3000</x:v>
      </x:c>
      <x:c r="F322" s="7" t="n">
        <x:v>1</x:v>
      </x:c>
      <x:c r="G322" s="2" t="str">
        <x:v>기혼</x:v>
      </x:c>
      <x:c r="H322" s="7" t="n">
        <x:v>2</x:v>
      </x:c>
      <x:c r="I322" s="2" t="str">
        <x:f>IF(H322&lt;3,H322&amp;"명","3명 이상")</x:f>
        <x:v>2명</x:v>
      </x:c>
      <x:c r="J322" s="2" t="str">
        <x:v>비흡연</x:v>
      </x:c>
      <x:c r="K322" s="2" t="str">
        <x:v>없음</x:v>
      </x:c>
      <x:c r="L322" s="2" t="str">
        <x:v>심혈관</x:v>
      </x:c>
      <x:c r="M322" s="2" t="str">
        <x:v>수호천사 우리가족 종신보험</x:v>
      </x:c>
      <x:c r="N322" s="2" t="str">
        <x:f>VLOOKUP(M322,'분류기준'!$A$5:$B$8,2,FALSE)</x:f>
        <x:v>종신보험</x:v>
      </x:c>
      <x:c r="O322" s="2" t="str">
        <x:v>가족 수입 보장 특약</x:v>
      </x:c>
      <x:c r="P322" s="2" t="str">
        <x:f>IF(O322="선택 안함","선택 안함",IF(O322="특약 없음","특약 없음","가입"))</x:f>
        <x:v>가입</x:v>
      </x:c>
      <x:c r="Q322" s="2" t="str">
        <x:f>IF(P322="가입","가입","미가입")</x:f>
        <x:v>가입</x:v>
      </x:c>
    </x:row>
    <x:row r="323" ht="23" customHeight="1">
      <x:c r="A323" s="2" t="str">
        <x:v>C0852</x:v>
      </x:c>
      <x:c r="B323" s="7" t="n">
        <x:v>34</x:v>
      </x:c>
      <x:c r="C323" s="2" t="str">
        <x:f>INT(B323/10)*10&amp;"대"</x:f>
        <x:v>30대</x:v>
      </x:c>
      <x:c r="D323" s="2" t="str">
        <x:v>여성</x:v>
      </x:c>
      <x:c r="E323" s="7" t="n">
        <x:v>5000</x:v>
      </x:c>
      <x:c r="F323" s="7" t="n">
        <x:v>3</x:v>
      </x:c>
      <x:c r="G323" s="2" t="str">
        <x:v>기혼</x:v>
      </x:c>
      <x:c r="H323" s="7" t="n">
        <x:v>2</x:v>
      </x:c>
      <x:c r="I323" s="2" t="str">
        <x:f>IF(H323&lt;3,H323&amp;"명","3명 이상")</x:f>
        <x:v>2명</x:v>
      </x:c>
      <x:c r="J323" s="2" t="str">
        <x:v>비흡연</x:v>
      </x:c>
      <x:c r="K323" s="2" t="str">
        <x:v>없음</x:v>
      </x:c>
      <x:c r="L323" s="2" t="str">
        <x:v>없음</x:v>
      </x:c>
      <x:c r="M323" s="2" t="str">
        <x:v>수호천사 우리가족 종신보험</x:v>
      </x:c>
      <x:c r="N323" s="2" t="str">
        <x:f>VLOOKUP(M323,'분류기준'!$A$5:$B$8,2,FALSE)</x:f>
        <x:v>종신보험</x:v>
      </x:c>
      <x:c r="O323" s="2" t="str">
        <x:v>가족 수입 보장 특약</x:v>
      </x:c>
      <x:c r="P323" s="2" t="str">
        <x:f>IF(O323="선택 안함","선택 안함",IF(O323="특약 없음","특약 없음","가입"))</x:f>
        <x:v>가입</x:v>
      </x:c>
      <x:c r="Q323" s="2" t="str">
        <x:f>IF(P323="가입","가입","미가입")</x:f>
        <x:v>가입</x:v>
      </x:c>
    </x:row>
    <x:row r="324" ht="23" customHeight="1">
      <x:c r="A324" s="2" t="str">
        <x:v>C0873</x:v>
      </x:c>
      <x:c r="B324" s="7" t="n">
        <x:v>34</x:v>
      </x:c>
      <x:c r="C324" s="2" t="str">
        <x:f>INT(B324/10)*10&amp;"대"</x:f>
        <x:v>30대</x:v>
      </x:c>
      <x:c r="D324" s="2" t="str">
        <x:v>여성</x:v>
      </x:c>
      <x:c r="E324" s="7" t="n">
        <x:v>6000</x:v>
      </x:c>
      <x:c r="F324" s="7" t="n">
        <x:v>1</x:v>
      </x:c>
      <x:c r="G324" s="2" t="str">
        <x:v>기혼</x:v>
      </x:c>
      <x:c r="H324" s="7" t="n">
        <x:v>1</x:v>
      </x:c>
      <x:c r="I324" s="2" t="str">
        <x:f>IF(H324&lt;3,H324&amp;"명","3명 이상")</x:f>
        <x:v>1명</x:v>
      </x:c>
      <x:c r="J324" s="2" t="str">
        <x:v>흡연</x:v>
      </x:c>
      <x:c r="K324" s="2" t="str">
        <x:v>없음</x:v>
      </x:c>
      <x:c r="L324" s="2" t="str">
        <x:v>심혈관</x:v>
      </x:c>
      <x:c r="M324" s="2" t="str">
        <x:v>수호천사 간편심사(유병자)보험</x:v>
      </x:c>
      <x:c r="N324" s="2" t="str">
        <x:f>VLOOKUP(M324,'분류기준'!$A$5:$B$8,2,FALSE)</x:f>
        <x:v>간편심사보험</x:v>
      </x:c>
      <x:c r="O324" s="2" t="str">
        <x:v>중증질환 산정특례 보장 특약</x:v>
      </x:c>
      <x:c r="P324" s="2" t="str">
        <x:f>IF(O324="선택 안함","선택 안함",IF(O324="특약 없음","특약 없음","가입"))</x:f>
        <x:v>가입</x:v>
      </x:c>
      <x:c r="Q324" s="2" t="str">
        <x:f>IF(P324="가입","가입","미가입")</x:f>
        <x:v>가입</x:v>
      </x:c>
    </x:row>
    <x:row r="325" ht="23" customHeight="1">
      <x:c r="A325" s="2" t="str">
        <x:v>C0936</x:v>
      </x:c>
      <x:c r="B325" s="7" t="n">
        <x:v>34</x:v>
      </x:c>
      <x:c r="C325" s="2" t="str">
        <x:f>INT(B325/10)*10&amp;"대"</x:f>
        <x:v>30대</x:v>
      </x:c>
      <x:c r="D325" s="2" t="str">
        <x:v>남성</x:v>
      </x:c>
      <x:c r="E325" s="7" t="n">
        <x:v>4000</x:v>
      </x:c>
      <x:c r="F325" s="7" t="n">
        <x:v>1</x:v>
      </x:c>
      <x:c r="G325" s="2" t="str">
        <x:v>기혼</x:v>
      </x:c>
      <x:c r="H325" s="7" t="n">
        <x:v>0</x:v>
      </x:c>
      <x:c r="I325" s="2" t="str">
        <x:f>IF(H325&lt;3,H325&amp;"명","3명 이상")</x:f>
        <x:v>0명</x:v>
      </x:c>
      <x:c r="J325" s="2" t="str">
        <x:v>비흡연</x:v>
      </x:c>
      <x:c r="K325" s="2" t="str">
        <x:v>없음</x:v>
      </x:c>
      <x:c r="L325" s="2" t="str">
        <x:v>암</x:v>
      </x:c>
      <x:c r="M325" s="2" t="str">
        <x:v>수호천사 암/건강보험</x:v>
      </x:c>
      <x:c r="N325" s="2" t="str">
        <x:f>VLOOKUP(M325,'분류기준'!$A$5:$B$8,2,FALSE)</x:f>
        <x:v>암/건강보험</x:v>
      </x:c>
      <x:c r="O325" s="2" t="str">
        <x:v>수술비 보장 특약</x:v>
      </x:c>
      <x:c r="P325" s="2" t="str">
        <x:f>IF(O325="선택 안함","선택 안함",IF(O325="특약 없음","특약 없음","가입"))</x:f>
        <x:v>가입</x:v>
      </x:c>
      <x:c r="Q325" s="2" t="str">
        <x:f>IF(P325="가입","가입","미가입")</x:f>
        <x:v>가입</x:v>
      </x:c>
    </x:row>
    <x:row r="326" ht="23" customHeight="1">
      <x:c r="A326" s="2" t="str">
        <x:v>C0941</x:v>
      </x:c>
      <x:c r="B326" s="7" t="n">
        <x:v>34</x:v>
      </x:c>
      <x:c r="C326" s="2" t="str">
        <x:f>INT(B326/10)*10&amp;"대"</x:f>
        <x:v>30대</x:v>
      </x:c>
      <x:c r="D326" s="2" t="str">
        <x:v>여성</x:v>
      </x:c>
      <x:c r="E326" s="7" t="n">
        <x:v>6000</x:v>
      </x:c>
      <x:c r="F326" s="7" t="n">
        <x:v>1</x:v>
      </x:c>
      <x:c r="G326" s="2" t="str">
        <x:v>기혼</x:v>
      </x:c>
      <x:c r="H326" s="7" t="n">
        <x:v>2</x:v>
      </x:c>
      <x:c r="I326" s="2" t="str">
        <x:f>IF(H326&lt;3,H326&amp;"명","3명 이상")</x:f>
        <x:v>2명</x:v>
      </x:c>
      <x:c r="J326" s="2" t="str">
        <x:v>비흡연</x:v>
      </x:c>
      <x:c r="K326" s="2" t="str">
        <x:v>없음</x:v>
      </x:c>
      <x:c r="L326" s="2" t="str">
        <x:v>암</x:v>
      </x:c>
      <x:c r="M326" s="2" t="str">
        <x:v>수호천사 암/건강보험</x:v>
      </x:c>
      <x:c r="N326" s="2" t="str">
        <x:f>VLOOKUP(M326,'분류기준'!$A$5:$B$8,2,FALSE)</x:f>
        <x:v>암/건강보험</x:v>
      </x:c>
      <x:c r="O326" s="2" t="str">
        <x:v>표적항암약물허가치료 특약</x:v>
      </x:c>
      <x:c r="P326" s="2" t="str">
        <x:f>IF(O326="선택 안함","선택 안함",IF(O326="특약 없음","특약 없음","가입"))</x:f>
        <x:v>가입</x:v>
      </x:c>
      <x:c r="Q326" s="2" t="str">
        <x:f>IF(P326="가입","가입","미가입")</x:f>
        <x:v>가입</x:v>
      </x:c>
    </x:row>
    <x:row r="327" ht="23" customHeight="1">
      <x:c r="A327" s="2" t="str">
        <x:v>C0984</x:v>
      </x:c>
      <x:c r="B327" s="7" t="n">
        <x:v>34</x:v>
      </x:c>
      <x:c r="C327" s="2" t="str">
        <x:f>INT(B327/10)*10&amp;"대"</x:f>
        <x:v>30대</x:v>
      </x:c>
      <x:c r="D327" s="2" t="str">
        <x:v>남성</x:v>
      </x:c>
      <x:c r="E327" s="7" t="n">
        <x:v>3000</x:v>
      </x:c>
      <x:c r="F327" s="7" t="n">
        <x:v>1</x:v>
      </x:c>
      <x:c r="G327" s="2" t="str">
        <x:v>미혼</x:v>
      </x:c>
      <x:c r="H327" s="7" t="n">
        <x:v>0</x:v>
      </x:c>
      <x:c r="I327" s="2" t="str">
        <x:f>IF(H327&lt;3,H327&amp;"명","3명 이상")</x:f>
        <x:v>0명</x:v>
      </x:c>
      <x:c r="J327" s="2" t="str">
        <x:v>흡연</x:v>
      </x:c>
      <x:c r="K327" s="2" t="str">
        <x:v>없음</x:v>
      </x:c>
      <x:c r="L327" s="2" t="str">
        <x:v>암</x:v>
      </x:c>
      <x:c r="M327" s="2" t="str">
        <x:v>수호천사 암/건강보험</x:v>
      </x:c>
      <x:c r="N327" s="2" t="str">
        <x:f>VLOOKUP(M327,'분류기준'!$A$5:$B$8,2,FALSE)</x:f>
        <x:v>암/건강보험</x:v>
      </x:c>
      <x:c r="O327" s="2" t="str">
        <x:v>수술비 보장 특약</x:v>
      </x:c>
      <x:c r="P327" s="2" t="str">
        <x:f>IF(O327="선택 안함","선택 안함",IF(O327="특약 없음","특약 없음","가입"))</x:f>
        <x:v>가입</x:v>
      </x:c>
      <x:c r="Q327" s="2" t="str">
        <x:f>IF(P327="가입","가입","미가입")</x:f>
        <x:v>가입</x:v>
      </x:c>
    </x:row>
    <x:row r="328" ht="23" customHeight="1">
      <x:c r="A328" s="2" t="str">
        <x:v>C0033</x:v>
      </x:c>
      <x:c r="B328" s="7" t="n">
        <x:v>35</x:v>
      </x:c>
      <x:c r="C328" s="2" t="str">
        <x:f>INT(B328/10)*10&amp;"대"</x:f>
        <x:v>30대</x:v>
      </x:c>
      <x:c r="D328" s="2" t="str">
        <x:v>여성</x:v>
      </x:c>
      <x:c r="E328" s="7" t="n">
        <x:v>3000</x:v>
      </x:c>
      <x:c r="F328" s="7" t="n">
        <x:v>2</x:v>
      </x:c>
      <x:c r="G328" s="2" t="str">
        <x:v>기혼</x:v>
      </x:c>
      <x:c r="H328" s="7" t="n">
        <x:v>1</x:v>
      </x:c>
      <x:c r="I328" s="2" t="str">
        <x:f>IF(H328&lt;3,H328&amp;"명","3명 이상")</x:f>
        <x:v>1명</x:v>
      </x:c>
      <x:c r="J328" s="2" t="str">
        <x:v>흡연</x:v>
      </x:c>
      <x:c r="K328" s="2" t="str">
        <x:v>없음</x:v>
      </x:c>
      <x:c r="L328" s="2" t="str">
        <x:v>암</x:v>
      </x:c>
      <x:c r="M328" s="2" t="str">
        <x:v>수호천사 암/건강보험</x:v>
      </x:c>
      <x:c r="N328" s="2" t="str">
        <x:f>VLOOKUP(M328,'분류기준'!$A$5:$B$8,2,FALSE)</x:f>
        <x:v>암/건강보험</x:v>
      </x:c>
      <x:c r="O328" s="2" t="str">
        <x:v>선택 안함</x:v>
      </x:c>
      <x:c r="P328" s="2" t="str">
        <x:f>IF(O328="선택 안함","선택 안함",IF(O328="특약 없음","특약 없음","가입"))</x:f>
        <x:v>선택 안함</x:v>
      </x:c>
      <x:c r="Q328" s="2" t="str">
        <x:f>IF(P328="가입","가입","미가입")</x:f>
        <x:v>미가입</x:v>
      </x:c>
    </x:row>
    <x:row r="329" ht="23" customHeight="1">
      <x:c r="A329" s="2" t="str">
        <x:v>C0079</x:v>
      </x:c>
      <x:c r="B329" s="7" t="n">
        <x:v>35</x:v>
      </x:c>
      <x:c r="C329" s="2" t="str">
        <x:f>INT(B329/10)*10&amp;"대"</x:f>
        <x:v>30대</x:v>
      </x:c>
      <x:c r="D329" s="2" t="str">
        <x:v>여성</x:v>
      </x:c>
      <x:c r="E329" s="7" t="n">
        <x:v>4000</x:v>
      </x:c>
      <x:c r="F329" s="7" t="n">
        <x:v>1</x:v>
      </x:c>
      <x:c r="G329" s="2" t="str">
        <x:v>기혼</x:v>
      </x:c>
      <x:c r="H329" s="7" t="n">
        <x:v>2</x:v>
      </x:c>
      <x:c r="I329" s="2" t="str">
        <x:f>IF(H329&lt;3,H329&amp;"명","3명 이상")</x:f>
        <x:v>2명</x:v>
      </x:c>
      <x:c r="J329" s="2" t="str">
        <x:v>비흡연</x:v>
      </x:c>
      <x:c r="K329" s="2" t="str">
        <x:v>없음</x:v>
      </x:c>
      <x:c r="L329" s="2" t="str">
        <x:v>암</x:v>
      </x:c>
      <x:c r="M329" s="2" t="str">
        <x:v>수호천사 우리가족 종신보험</x:v>
      </x:c>
      <x:c r="N329" s="2" t="str">
        <x:f>VLOOKUP(M329,'분류기준'!$A$5:$B$8,2,FALSE)</x:f>
        <x:v>종신보험</x:v>
      </x:c>
      <x:c r="O329" s="2" t="str">
        <x:v>선택 안함</x:v>
      </x:c>
      <x:c r="P329" s="2" t="str">
        <x:f>IF(O329="선택 안함","선택 안함",IF(O329="특약 없음","특약 없음","가입"))</x:f>
        <x:v>선택 안함</x:v>
      </x:c>
      <x:c r="Q329" s="2" t="str">
        <x:f>IF(P329="가입","가입","미가입")</x:f>
        <x:v>미가입</x:v>
      </x:c>
    </x:row>
    <x:row r="330" ht="23" customHeight="1">
      <x:c r="A330" s="2" t="str">
        <x:v>C0226</x:v>
      </x:c>
      <x:c r="B330" s="7" t="n">
        <x:v>35</x:v>
      </x:c>
      <x:c r="C330" s="2" t="str">
        <x:f>INT(B330/10)*10&amp;"대"</x:f>
        <x:v>30대</x:v>
      </x:c>
      <x:c r="D330" s="2" t="str">
        <x:v>여성</x:v>
      </x:c>
      <x:c r="E330" s="7" t="n">
        <x:v>6000</x:v>
      </x:c>
      <x:c r="F330" s="7" t="n">
        <x:v>3</x:v>
      </x:c>
      <x:c r="G330" s="2" t="str">
        <x:v>기혼</x:v>
      </x:c>
      <x:c r="H330" s="7" t="n">
        <x:v>1</x:v>
      </x:c>
      <x:c r="I330" s="2" t="str">
        <x:f>IF(H330&lt;3,H330&amp;"명","3명 이상")</x:f>
        <x:v>1명</x:v>
      </x:c>
      <x:c r="J330" s="2" t="str">
        <x:v>비흡연</x:v>
      </x:c>
      <x:c r="K330" s="2" t="str">
        <x:v>없음</x:v>
      </x:c>
      <x:c r="L330" s="2" t="str">
        <x:v>암</x:v>
      </x:c>
      <x:c r="M330" s="2" t="str">
        <x:v>수호천사 우리가족 종신보험</x:v>
      </x:c>
      <x:c r="N330" s="2" t="str">
        <x:f>VLOOKUP(M330,'분류기준'!$A$5:$B$8,2,FALSE)</x:f>
        <x:v>종신보험</x:v>
      </x:c>
      <x:c r="O330" s="2" t="str">
        <x:v>가족 수입 보장 특약</x:v>
      </x:c>
      <x:c r="P330" s="2" t="str">
        <x:f>IF(O330="선택 안함","선택 안함",IF(O330="특약 없음","특약 없음","가입"))</x:f>
        <x:v>가입</x:v>
      </x:c>
      <x:c r="Q330" s="2" t="str">
        <x:f>IF(P330="가입","가입","미가입")</x:f>
        <x:v>가입</x:v>
      </x:c>
    </x:row>
    <x:row r="331" ht="23" customHeight="1">
      <x:c r="A331" s="2" t="str">
        <x:v>C0230</x:v>
      </x:c>
      <x:c r="B331" s="7" t="n">
        <x:v>35</x:v>
      </x:c>
      <x:c r="C331" s="2" t="str">
        <x:f>INT(B331/10)*10&amp;"대"</x:f>
        <x:v>30대</x:v>
      </x:c>
      <x:c r="D331" s="2" t="str">
        <x:v>여성</x:v>
      </x:c>
      <x:c r="E331" s="7" t="n">
        <x:v>7500</x:v>
      </x:c>
      <x:c r="F331" s="7" t="n">
        <x:v>1</x:v>
      </x:c>
      <x:c r="G331" s="2" t="str">
        <x:v>기혼</x:v>
      </x:c>
      <x:c r="H331" s="7" t="n">
        <x:v>2</x:v>
      </x:c>
      <x:c r="I331" s="2" t="str">
        <x:f>IF(H331&lt;3,H331&amp;"명","3명 이상")</x:f>
        <x:v>2명</x:v>
      </x:c>
      <x:c r="J331" s="2" t="str">
        <x:v>흡연</x:v>
      </x:c>
      <x:c r="K331" s="2" t="str">
        <x:v>없음</x:v>
      </x:c>
      <x:c r="L331" s="2" t="str">
        <x:v>암</x:v>
      </x:c>
      <x:c r="M331" s="2" t="str">
        <x:v>수호천사 우리가족 종신보험</x:v>
      </x:c>
      <x:c r="N331" s="2" t="str">
        <x:f>VLOOKUP(M331,'분류기준'!$A$5:$B$8,2,FALSE)</x:f>
        <x:v>종신보험</x:v>
      </x:c>
      <x:c r="O331" s="2" t="str">
        <x:v>가족 수입 보장 특약</x:v>
      </x:c>
      <x:c r="P331" s="2" t="str">
        <x:f>IF(O331="선택 안함","선택 안함",IF(O331="특약 없음","특약 없음","가입"))</x:f>
        <x:v>가입</x:v>
      </x:c>
      <x:c r="Q331" s="2" t="str">
        <x:f>IF(P331="가입","가입","미가입")</x:f>
        <x:v>가입</x:v>
      </x:c>
    </x:row>
    <x:row r="332" ht="23" customHeight="1">
      <x:c r="A332" s="2" t="str">
        <x:v>C0258</x:v>
      </x:c>
      <x:c r="B332" s="7" t="n">
        <x:v>35</x:v>
      </x:c>
      <x:c r="C332" s="2" t="str">
        <x:f>INT(B332/10)*10&amp;"대"</x:f>
        <x:v>30대</x:v>
      </x:c>
      <x:c r="D332" s="2" t="str">
        <x:v>여성</x:v>
      </x:c>
      <x:c r="E332" s="7" t="n">
        <x:v>5000</x:v>
      </x:c>
      <x:c r="F332" s="7" t="n">
        <x:v>1</x:v>
      </x:c>
      <x:c r="G332" s="2" t="str">
        <x:v>기혼</x:v>
      </x:c>
      <x:c r="H332" s="7" t="n">
        <x:v>2</x:v>
      </x:c>
      <x:c r="I332" s="2" t="str">
        <x:f>IF(H332&lt;3,H332&amp;"명","3명 이상")</x:f>
        <x:v>2명</x:v>
      </x:c>
      <x:c r="J332" s="2" t="str">
        <x:v>비흡연</x:v>
      </x:c>
      <x:c r="K332" s="2" t="str">
        <x:v>없음</x:v>
      </x:c>
      <x:c r="L332" s="2" t="str">
        <x:v>없음</x:v>
      </x:c>
      <x:c r="M332" s="2" t="str">
        <x:v>수호천사 암/건강보험</x:v>
      </x:c>
      <x:c r="N332" s="2" t="str">
        <x:f>VLOOKUP(M332,'분류기준'!$A$5:$B$8,2,FALSE)</x:f>
        <x:v>암/건강보험</x:v>
      </x:c>
      <x:c r="O332" s="2" t="str">
        <x:v>선택 안함</x:v>
      </x:c>
      <x:c r="P332" s="2" t="str">
        <x:f>IF(O332="선택 안함","선택 안함",IF(O332="특약 없음","특약 없음","가입"))</x:f>
        <x:v>선택 안함</x:v>
      </x:c>
      <x:c r="Q332" s="2" t="str">
        <x:f>IF(P332="가입","가입","미가입")</x:f>
        <x:v>미가입</x:v>
      </x:c>
    </x:row>
    <x:row r="333" ht="23" customHeight="1">
      <x:c r="A333" s="2" t="str">
        <x:v>C0270</x:v>
      </x:c>
      <x:c r="B333" s="7" t="n">
        <x:v>35</x:v>
      </x:c>
      <x:c r="C333" s="2" t="str">
        <x:f>INT(B333/10)*10&amp;"대"</x:f>
        <x:v>30대</x:v>
      </x:c>
      <x:c r="D333" s="2" t="str">
        <x:v>남성</x:v>
      </x:c>
      <x:c r="E333" s="7" t="n">
        <x:v>3000</x:v>
      </x:c>
      <x:c r="F333" s="7" t="n">
        <x:v>3</x:v>
      </x:c>
      <x:c r="G333" s="2" t="str">
        <x:v>미혼</x:v>
      </x:c>
      <x:c r="H333" s="7" t="n">
        <x:v>0</x:v>
      </x:c>
      <x:c r="I333" s="2" t="str">
        <x:f>IF(H333&lt;3,H333&amp;"명","3명 이상")</x:f>
        <x:v>0명</x:v>
      </x:c>
      <x:c r="J333" s="2" t="str">
        <x:v>비흡연</x:v>
      </x:c>
      <x:c r="K333" s="2" t="str">
        <x:v>없음</x:v>
      </x:c>
      <x:c r="L333" s="2" t="str">
        <x:v>없음</x:v>
      </x:c>
      <x:c r="M333" s="2" t="str">
        <x:v>수호천사 간편심사(유병자)보험</x:v>
      </x:c>
      <x:c r="N333" s="2" t="str">
        <x:f>VLOOKUP(M333,'분류기준'!$A$5:$B$8,2,FALSE)</x:f>
        <x:v>간편심사보험</x:v>
      </x:c>
      <x:c r="O333" s="2" t="str">
        <x:v>중증질환 산정특례 보장 특약</x:v>
      </x:c>
      <x:c r="P333" s="2" t="str">
        <x:f>IF(O333="선택 안함","선택 안함",IF(O333="특약 없음","특약 없음","가입"))</x:f>
        <x:v>가입</x:v>
      </x:c>
      <x:c r="Q333" s="2" t="str">
        <x:f>IF(P333="가입","가입","미가입")</x:f>
        <x:v>가입</x:v>
      </x:c>
    </x:row>
    <x:row r="334" ht="23" customHeight="1">
      <x:c r="A334" s="2" t="str">
        <x:v>C0292</x:v>
      </x:c>
      <x:c r="B334" s="7" t="n">
        <x:v>35</x:v>
      </x:c>
      <x:c r="C334" s="2" t="str">
        <x:f>INT(B334/10)*10&amp;"대"</x:f>
        <x:v>30대</x:v>
      </x:c>
      <x:c r="D334" s="2" t="str">
        <x:v>여성</x:v>
      </x:c>
      <x:c r="E334" s="7" t="n">
        <x:v>4000</x:v>
      </x:c>
      <x:c r="F334" s="7" t="n">
        <x:v>3</x:v>
      </x:c>
      <x:c r="G334" s="2" t="str">
        <x:v>기혼</x:v>
      </x:c>
      <x:c r="H334" s="7" t="n">
        <x:v>1</x:v>
      </x:c>
      <x:c r="I334" s="2" t="str">
        <x:f>IF(H334&lt;3,H334&amp;"명","3명 이상")</x:f>
        <x:v>1명</x:v>
      </x:c>
      <x:c r="J334" s="2" t="str">
        <x:v>흡연</x:v>
      </x:c>
      <x:c r="K334" s="2" t="str">
        <x:v>없음</x:v>
      </x:c>
      <x:c r="L334" s="2" t="str">
        <x:v>심혈관</x:v>
      </x:c>
      <x:c r="M334" s="2" t="str">
        <x:v>수호천사 암/건강보험</x:v>
      </x:c>
      <x:c r="N334" s="2" t="str">
        <x:f>VLOOKUP(M334,'분류기준'!$A$5:$B$8,2,FALSE)</x:f>
        <x:v>암/건강보험</x:v>
      </x:c>
      <x:c r="O334" s="2" t="str">
        <x:v>수술비 보장 특약</x:v>
      </x:c>
      <x:c r="P334" s="2" t="str">
        <x:f>IF(O334="선택 안함","선택 안함",IF(O334="특약 없음","특약 없음","가입"))</x:f>
        <x:v>가입</x:v>
      </x:c>
      <x:c r="Q334" s="2" t="str">
        <x:f>IF(P334="가입","가입","미가입")</x:f>
        <x:v>가입</x:v>
      </x:c>
    </x:row>
    <x:row r="335" ht="23" customHeight="1">
      <x:c r="A335" s="2" t="str">
        <x:v>C0384</x:v>
      </x:c>
      <x:c r="B335" s="7" t="n">
        <x:v>35</x:v>
      </x:c>
      <x:c r="C335" s="2" t="str">
        <x:f>INT(B335/10)*10&amp;"대"</x:f>
        <x:v>30대</x:v>
      </x:c>
      <x:c r="D335" s="2" t="str">
        <x:v>여성</x:v>
      </x:c>
      <x:c r="E335" s="7" t="n">
        <x:v>4000</x:v>
      </x:c>
      <x:c r="F335" s="7" t="n">
        <x:v>1</x:v>
      </x:c>
      <x:c r="G335" s="2" t="str">
        <x:v>기혼</x:v>
      </x:c>
      <x:c r="H335" s="7" t="n">
        <x:v>2</x:v>
      </x:c>
      <x:c r="I335" s="2" t="str">
        <x:f>IF(H335&lt;3,H335&amp;"명","3명 이상")</x:f>
        <x:v>2명</x:v>
      </x:c>
      <x:c r="J335" s="2" t="str">
        <x:v>비흡연</x:v>
      </x:c>
      <x:c r="K335" s="2" t="str">
        <x:v>없음</x:v>
      </x:c>
      <x:c r="L335" s="2" t="str">
        <x:v>없음</x:v>
      </x:c>
      <x:c r="M335" s="2" t="str">
        <x:v>수호천사 우리가족 종신보험</x:v>
      </x:c>
      <x:c r="N335" s="2" t="str">
        <x:f>VLOOKUP(M335,'분류기준'!$A$5:$B$8,2,FALSE)</x:f>
        <x:v>종신보험</x:v>
      </x:c>
      <x:c r="O335" s="2" t="str">
        <x:v>가족 수입 보장 특약</x:v>
      </x:c>
      <x:c r="P335" s="2" t="str">
        <x:f>IF(O335="선택 안함","선택 안함",IF(O335="특약 없음","특약 없음","가입"))</x:f>
        <x:v>가입</x:v>
      </x:c>
      <x:c r="Q335" s="2" t="str">
        <x:f>IF(P335="가입","가입","미가입")</x:f>
        <x:v>가입</x:v>
      </x:c>
    </x:row>
    <x:row r="336" ht="23" customHeight="1">
      <x:c r="A336" s="2" t="str">
        <x:v>C0416</x:v>
      </x:c>
      <x:c r="B336" s="7" t="n">
        <x:v>35</x:v>
      </x:c>
      <x:c r="C336" s="2" t="str">
        <x:f>INT(B336/10)*10&amp;"대"</x:f>
        <x:v>30대</x:v>
      </x:c>
      <x:c r="D336" s="2" t="str">
        <x:v>여성</x:v>
      </x:c>
      <x:c r="E336" s="7" t="n">
        <x:v>4000</x:v>
      </x:c>
      <x:c r="F336" s="7" t="n">
        <x:v>1</x:v>
      </x:c>
      <x:c r="G336" s="2" t="str">
        <x:v>기혼</x:v>
      </x:c>
      <x:c r="H336" s="7" t="n">
        <x:v>0</x:v>
      </x:c>
      <x:c r="I336" s="2" t="str">
        <x:f>IF(H336&lt;3,H336&amp;"명","3명 이상")</x:f>
        <x:v>0명</x:v>
      </x:c>
      <x:c r="J336" s="2" t="str">
        <x:v>비흡연</x:v>
      </x:c>
      <x:c r="K336" s="2" t="str">
        <x:v>없음</x:v>
      </x:c>
      <x:c r="L336" s="2" t="str">
        <x:v>암</x:v>
      </x:c>
      <x:c r="M336" s="2" t="str">
        <x:v>수호천사 암/건강보험</x:v>
      </x:c>
      <x:c r="N336" s="2" t="str">
        <x:f>VLOOKUP(M336,'분류기준'!$A$5:$B$8,2,FALSE)</x:f>
        <x:v>암/건강보험</x:v>
      </x:c>
      <x:c r="O336" s="2" t="str">
        <x:v>표적항암약물허가치료 특약</x:v>
      </x:c>
      <x:c r="P336" s="2" t="str">
        <x:f>IF(O336="선택 안함","선택 안함",IF(O336="특약 없음","특약 없음","가입"))</x:f>
        <x:v>가입</x:v>
      </x:c>
      <x:c r="Q336" s="2" t="str">
        <x:f>IF(P336="가입","가입","미가입")</x:f>
        <x:v>가입</x:v>
      </x:c>
    </x:row>
    <x:row r="337" ht="23" customHeight="1">
      <x:c r="A337" s="2" t="str">
        <x:v>C0438</x:v>
      </x:c>
      <x:c r="B337" s="7" t="n">
        <x:v>35</x:v>
      </x:c>
      <x:c r="C337" s="2" t="str">
        <x:f>INT(B337/10)*10&amp;"대"</x:f>
        <x:v>30대</x:v>
      </x:c>
      <x:c r="D337" s="2" t="str">
        <x:v>남성</x:v>
      </x:c>
      <x:c r="E337" s="7" t="n">
        <x:v>4000</x:v>
      </x:c>
      <x:c r="F337" s="7" t="n">
        <x:v>1</x:v>
      </x:c>
      <x:c r="G337" s="2" t="str">
        <x:v>기혼</x:v>
      </x:c>
      <x:c r="H337" s="7" t="n">
        <x:v>2</x:v>
      </x:c>
      <x:c r="I337" s="2" t="str">
        <x:f>IF(H337&lt;3,H337&amp;"명","3명 이상")</x:f>
        <x:v>2명</x:v>
      </x:c>
      <x:c r="J337" s="2" t="str">
        <x:v>흡연</x:v>
      </x:c>
      <x:c r="K337" s="2" t="str">
        <x:v>없음</x:v>
      </x:c>
      <x:c r="L337" s="2" t="str">
        <x:v>암</x:v>
      </x:c>
      <x:c r="M337" s="2" t="str">
        <x:v>수호천사 우리가족 종신보험</x:v>
      </x:c>
      <x:c r="N337" s="2" t="str">
        <x:f>VLOOKUP(M337,'분류기준'!$A$5:$B$8,2,FALSE)</x:f>
        <x:v>종신보험</x:v>
      </x:c>
      <x:c r="O337" s="2" t="str">
        <x:v>가족 수입 보장 특약</x:v>
      </x:c>
      <x:c r="P337" s="2" t="str">
        <x:f>IF(O337="선택 안함","선택 안함",IF(O337="특약 없음","특약 없음","가입"))</x:f>
        <x:v>가입</x:v>
      </x:c>
      <x:c r="Q337" s="2" t="str">
        <x:f>IF(P337="가입","가입","미가입")</x:f>
        <x:v>가입</x:v>
      </x:c>
    </x:row>
    <x:row r="338" ht="23" customHeight="1">
      <x:c r="A338" s="2" t="str">
        <x:v>C0446</x:v>
      </x:c>
      <x:c r="B338" s="7" t="n">
        <x:v>35</x:v>
      </x:c>
      <x:c r="C338" s="2" t="str">
        <x:f>INT(B338/10)*10&amp;"대"</x:f>
        <x:v>30대</x:v>
      </x:c>
      <x:c r="D338" s="2" t="str">
        <x:v>남성</x:v>
      </x:c>
      <x:c r="E338" s="7" t="n">
        <x:v>3000</x:v>
      </x:c>
      <x:c r="F338" s="7" t="n">
        <x:v>2</x:v>
      </x:c>
      <x:c r="G338" s="2" t="str">
        <x:v>기혼</x:v>
      </x:c>
      <x:c r="H338" s="7" t="n">
        <x:v>1</x:v>
      </x:c>
      <x:c r="I338" s="2" t="str">
        <x:f>IF(H338&lt;3,H338&amp;"명","3명 이상")</x:f>
        <x:v>1명</x:v>
      </x:c>
      <x:c r="J338" s="2" t="str">
        <x:v>비흡연</x:v>
      </x:c>
      <x:c r="K338" s="2" t="str">
        <x:v>없음</x:v>
      </x:c>
      <x:c r="L338" s="2" t="str">
        <x:v>없음</x:v>
      </x:c>
      <x:c r="M338" s="2" t="str">
        <x:v>수호천사 우리가족 종신보험</x:v>
      </x:c>
      <x:c r="N338" s="2" t="str">
        <x:f>VLOOKUP(M338,'분류기준'!$A$5:$B$8,2,FALSE)</x:f>
        <x:v>종신보험</x:v>
      </x:c>
      <x:c r="O338" s="2" t="str">
        <x:v>가족 수입 보장 특약</x:v>
      </x:c>
      <x:c r="P338" s="2" t="str">
        <x:f>IF(O338="선택 안함","선택 안함",IF(O338="특약 없음","특약 없음","가입"))</x:f>
        <x:v>가입</x:v>
      </x:c>
      <x:c r="Q338" s="2" t="str">
        <x:f>IF(P338="가입","가입","미가입")</x:f>
        <x:v>가입</x:v>
      </x:c>
    </x:row>
    <x:row r="339" ht="23" customHeight="1">
      <x:c r="A339" s="2" t="str">
        <x:v>C0457</x:v>
      </x:c>
      <x:c r="B339" s="7" t="n">
        <x:v>35</x:v>
      </x:c>
      <x:c r="C339" s="2" t="str">
        <x:f>INT(B339/10)*10&amp;"대"</x:f>
        <x:v>30대</x:v>
      </x:c>
      <x:c r="D339" s="2" t="str">
        <x:v>남성</x:v>
      </x:c>
      <x:c r="E339" s="7" t="n">
        <x:v>4000</x:v>
      </x:c>
      <x:c r="F339" s="7" t="n">
        <x:v>1</x:v>
      </x:c>
      <x:c r="G339" s="2" t="str">
        <x:v>기혼</x:v>
      </x:c>
      <x:c r="H339" s="7" t="n">
        <x:v>1</x:v>
      </x:c>
      <x:c r="I339" s="2" t="str">
        <x:f>IF(H339&lt;3,H339&amp;"명","3명 이상")</x:f>
        <x:v>1명</x:v>
      </x:c>
      <x:c r="J339" s="2" t="str">
        <x:v>비흡연</x:v>
      </x:c>
      <x:c r="K339" s="2" t="str">
        <x:v>없음</x:v>
      </x:c>
      <x:c r="L339" s="2" t="str">
        <x:v>암</x:v>
      </x:c>
      <x:c r="M339" s="2" t="str">
        <x:v>수호천사 우리가족 종신보험</x:v>
      </x:c>
      <x:c r="N339" s="2" t="str">
        <x:f>VLOOKUP(M339,'분류기준'!$A$5:$B$8,2,FALSE)</x:f>
        <x:v>종신보험</x:v>
      </x:c>
      <x:c r="O339" s="2" t="str">
        <x:v>가족 수입 보장 특약</x:v>
      </x:c>
      <x:c r="P339" s="2" t="str">
        <x:f>IF(O339="선택 안함","선택 안함",IF(O339="특약 없음","특약 없음","가입"))</x:f>
        <x:v>가입</x:v>
      </x:c>
      <x:c r="Q339" s="2" t="str">
        <x:f>IF(P339="가입","가입","미가입")</x:f>
        <x:v>가입</x:v>
      </x:c>
    </x:row>
    <x:row r="340" ht="23" customHeight="1">
      <x:c r="A340" s="2" t="str">
        <x:v>C0479</x:v>
      </x:c>
      <x:c r="B340" s="7" t="n">
        <x:v>35</x:v>
      </x:c>
      <x:c r="C340" s="2" t="str">
        <x:f>INT(B340/10)*10&amp;"대"</x:f>
        <x:v>30대</x:v>
      </x:c>
      <x:c r="D340" s="2" t="str">
        <x:v>남성</x:v>
      </x:c>
      <x:c r="E340" s="7" t="n">
        <x:v>5000</x:v>
      </x:c>
      <x:c r="F340" s="7" t="n">
        <x:v>1</x:v>
      </x:c>
      <x:c r="G340" s="2" t="str">
        <x:v>미혼</x:v>
      </x:c>
      <x:c r="H340" s="7" t="n">
        <x:v>0</x:v>
      </x:c>
      <x:c r="I340" s="2" t="str">
        <x:f>IF(H340&lt;3,H340&amp;"명","3명 이상")</x:f>
        <x:v>0명</x:v>
      </x:c>
      <x:c r="J340" s="2" t="str">
        <x:v>비흡연</x:v>
      </x:c>
      <x:c r="K340" s="2" t="str">
        <x:v>없음</x:v>
      </x:c>
      <x:c r="L340" s="2" t="str">
        <x:v>없음</x:v>
      </x:c>
      <x:c r="M340" s="2" t="str">
        <x:v>수호천사 행복 연금보험</x:v>
      </x:c>
      <x:c r="N340" s="2" t="str">
        <x:f>VLOOKUP(M340,'분류기준'!$A$5:$B$8,2,FALSE)</x:f>
        <x:v>연금보험</x:v>
      </x:c>
      <x:c r="O340" s="2" t="str">
        <x:v>특약 없음</x:v>
      </x:c>
      <x:c r="P340" s="2" t="str">
        <x:f>IF(O340="선택 안함","선택 안함",IF(O340="특약 없음","특약 없음","가입"))</x:f>
        <x:v>특약 없음</x:v>
      </x:c>
      <x:c r="Q340" s="2" t="str">
        <x:f>IF(P340="가입","가입","미가입")</x:f>
        <x:v>미가입</x:v>
      </x:c>
    </x:row>
    <x:row r="341" ht="23" customHeight="1">
      <x:c r="A341" s="2" t="str">
        <x:v>C0481</x:v>
      </x:c>
      <x:c r="B341" s="7" t="n">
        <x:v>35</x:v>
      </x:c>
      <x:c r="C341" s="2" t="str">
        <x:f>INT(B341/10)*10&amp;"대"</x:f>
        <x:v>30대</x:v>
      </x:c>
      <x:c r="D341" s="2" t="str">
        <x:v>남성</x:v>
      </x:c>
      <x:c r="E341" s="7" t="n">
        <x:v>4000</x:v>
      </x:c>
      <x:c r="F341" s="7" t="n">
        <x:v>2</x:v>
      </x:c>
      <x:c r="G341" s="2" t="str">
        <x:v>기혼</x:v>
      </x:c>
      <x:c r="H341" s="7" t="n">
        <x:v>1</x:v>
      </x:c>
      <x:c r="I341" s="2" t="str">
        <x:f>IF(H341&lt;3,H341&amp;"명","3명 이상")</x:f>
        <x:v>1명</x:v>
      </x:c>
      <x:c r="J341" s="2" t="str">
        <x:v>비흡연</x:v>
      </x:c>
      <x:c r="K341" s="2" t="str">
        <x:v>없음</x:v>
      </x:c>
      <x:c r="L341" s="2" t="str">
        <x:v>없음</x:v>
      </x:c>
      <x:c r="M341" s="2" t="str">
        <x:v>수호천사 간편심사(유병자)보험</x:v>
      </x:c>
      <x:c r="N341" s="2" t="str">
        <x:f>VLOOKUP(M341,'분류기준'!$A$5:$B$8,2,FALSE)</x:f>
        <x:v>간편심사보험</x:v>
      </x:c>
      <x:c r="O341" s="2" t="str">
        <x:v>선택 안함</x:v>
      </x:c>
      <x:c r="P341" s="2" t="str">
        <x:f>IF(O341="선택 안함","선택 안함",IF(O341="특약 없음","특약 없음","가입"))</x:f>
        <x:v>선택 안함</x:v>
      </x:c>
      <x:c r="Q341" s="2" t="str">
        <x:f>IF(P341="가입","가입","미가입")</x:f>
        <x:v>미가입</x:v>
      </x:c>
    </x:row>
    <x:row r="342" ht="23" customHeight="1">
      <x:c r="A342" s="2" t="str">
        <x:v>C0566</x:v>
      </x:c>
      <x:c r="B342" s="7" t="n">
        <x:v>35</x:v>
      </x:c>
      <x:c r="C342" s="2" t="str">
        <x:f>INT(B342/10)*10&amp;"대"</x:f>
        <x:v>30대</x:v>
      </x:c>
      <x:c r="D342" s="2" t="str">
        <x:v>여성</x:v>
      </x:c>
      <x:c r="E342" s="7" t="n">
        <x:v>5000</x:v>
      </x:c>
      <x:c r="F342" s="7" t="n">
        <x:v>1</x:v>
      </x:c>
      <x:c r="G342" s="2" t="str">
        <x:v>기혼</x:v>
      </x:c>
      <x:c r="H342" s="7" t="n">
        <x:v>0</x:v>
      </x:c>
      <x:c r="I342" s="2" t="str">
        <x:f>IF(H342&lt;3,H342&amp;"명","3명 이상")</x:f>
        <x:v>0명</x:v>
      </x:c>
      <x:c r="J342" s="2" t="str">
        <x:v>비흡연</x:v>
      </x:c>
      <x:c r="K342" s="2" t="str">
        <x:v>없음</x:v>
      </x:c>
      <x:c r="L342" s="2" t="str">
        <x:v>심혈관</x:v>
      </x:c>
      <x:c r="M342" s="2" t="str">
        <x:v>수호천사 암/건강보험</x:v>
      </x:c>
      <x:c r="N342" s="2" t="str">
        <x:f>VLOOKUP(M342,'분류기준'!$A$5:$B$8,2,FALSE)</x:f>
        <x:v>암/건강보험</x:v>
      </x:c>
      <x:c r="O342" s="2" t="str">
        <x:v>표적항암약물허가치료 특약</x:v>
      </x:c>
      <x:c r="P342" s="2" t="str">
        <x:f>IF(O342="선택 안함","선택 안함",IF(O342="특약 없음","특약 없음","가입"))</x:f>
        <x:v>가입</x:v>
      </x:c>
      <x:c r="Q342" s="2" t="str">
        <x:f>IF(P342="가입","가입","미가입")</x:f>
        <x:v>가입</x:v>
      </x:c>
    </x:row>
    <x:row r="343" ht="23" customHeight="1">
      <x:c r="A343" s="2" t="str">
        <x:v>C0574</x:v>
      </x:c>
      <x:c r="B343" s="7" t="n">
        <x:v>35</x:v>
      </x:c>
      <x:c r="C343" s="2" t="str">
        <x:f>INT(B343/10)*10&amp;"대"</x:f>
        <x:v>30대</x:v>
      </x:c>
      <x:c r="D343" s="2" t="str">
        <x:v>여성</x:v>
      </x:c>
      <x:c r="E343" s="7" t="n">
        <x:v>7500</x:v>
      </x:c>
      <x:c r="F343" s="7" t="n">
        <x:v>3</x:v>
      </x:c>
      <x:c r="G343" s="2" t="str">
        <x:v>기혼</x:v>
      </x:c>
      <x:c r="H343" s="7" t="n">
        <x:v>1</x:v>
      </x:c>
      <x:c r="I343" s="2" t="str">
        <x:f>IF(H343&lt;3,H343&amp;"명","3명 이상")</x:f>
        <x:v>1명</x:v>
      </x:c>
      <x:c r="J343" s="2" t="str">
        <x:v>비흡연</x:v>
      </x:c>
      <x:c r="K343" s="2" t="str">
        <x:v>없음</x:v>
      </x:c>
      <x:c r="L343" s="2" t="str">
        <x:v>없음</x:v>
      </x:c>
      <x:c r="M343" s="2" t="str">
        <x:v>수호천사 우리가족 종신보험</x:v>
      </x:c>
      <x:c r="N343" s="2" t="str">
        <x:f>VLOOKUP(M343,'분류기준'!$A$5:$B$8,2,FALSE)</x:f>
        <x:v>종신보험</x:v>
      </x:c>
      <x:c r="O343" s="2" t="str">
        <x:v>가족 수입 보장 특약</x:v>
      </x:c>
      <x:c r="P343" s="2" t="str">
        <x:f>IF(O343="선택 안함","선택 안함",IF(O343="특약 없음","특약 없음","가입"))</x:f>
        <x:v>가입</x:v>
      </x:c>
      <x:c r="Q343" s="2" t="str">
        <x:f>IF(P343="가입","가입","미가입")</x:f>
        <x:v>가입</x:v>
      </x:c>
    </x:row>
    <x:row r="344" ht="23" customHeight="1">
      <x:c r="A344" s="2" t="str">
        <x:v>C0649</x:v>
      </x:c>
      <x:c r="B344" s="7" t="n">
        <x:v>35</x:v>
      </x:c>
      <x:c r="C344" s="2" t="str">
        <x:f>INT(B344/10)*10&amp;"대"</x:f>
        <x:v>30대</x:v>
      </x:c>
      <x:c r="D344" s="2" t="str">
        <x:v>남성</x:v>
      </x:c>
      <x:c r="E344" s="7" t="n">
        <x:v>4000</x:v>
      </x:c>
      <x:c r="F344" s="7" t="n">
        <x:v>2</x:v>
      </x:c>
      <x:c r="G344" s="2" t="str">
        <x:v>미혼</x:v>
      </x:c>
      <x:c r="H344" s="7" t="n">
        <x:v>0</x:v>
      </x:c>
      <x:c r="I344" s="2" t="str">
        <x:f>IF(H344&lt;3,H344&amp;"명","3명 이상")</x:f>
        <x:v>0명</x:v>
      </x:c>
      <x:c r="J344" s="2" t="str">
        <x:v>비흡연</x:v>
      </x:c>
      <x:c r="K344" s="2" t="str">
        <x:v>없음</x:v>
      </x:c>
      <x:c r="L344" s="2" t="str">
        <x:v>심혈관</x:v>
      </x:c>
      <x:c r="M344" s="2" t="str">
        <x:v>수호천사 암/건강보험</x:v>
      </x:c>
      <x:c r="N344" s="2" t="str">
        <x:f>VLOOKUP(M344,'분류기준'!$A$5:$B$8,2,FALSE)</x:f>
        <x:v>암/건강보험</x:v>
      </x:c>
      <x:c r="O344" s="2" t="str">
        <x:v>수술비 보장 특약</x:v>
      </x:c>
      <x:c r="P344" s="2" t="str">
        <x:f>IF(O344="선택 안함","선택 안함",IF(O344="특약 없음","특약 없음","가입"))</x:f>
        <x:v>가입</x:v>
      </x:c>
      <x:c r="Q344" s="2" t="str">
        <x:f>IF(P344="가입","가입","미가입")</x:f>
        <x:v>가입</x:v>
      </x:c>
    </x:row>
    <x:row r="345" ht="23" customHeight="1">
      <x:c r="A345" s="2" t="str">
        <x:v>C0664</x:v>
      </x:c>
      <x:c r="B345" s="7" t="n">
        <x:v>35</x:v>
      </x:c>
      <x:c r="C345" s="2" t="str">
        <x:f>INT(B345/10)*10&amp;"대"</x:f>
        <x:v>30대</x:v>
      </x:c>
      <x:c r="D345" s="2" t="str">
        <x:v>여성</x:v>
      </x:c>
      <x:c r="E345" s="7" t="n">
        <x:v>4000</x:v>
      </x:c>
      <x:c r="F345" s="7" t="n">
        <x:v>2</x:v>
      </x:c>
      <x:c r="G345" s="2" t="str">
        <x:v>미혼</x:v>
      </x:c>
      <x:c r="H345" s="7" t="n">
        <x:v>0</x:v>
      </x:c>
      <x:c r="I345" s="2" t="str">
        <x:f>IF(H345&lt;3,H345&amp;"명","3명 이상")</x:f>
        <x:v>0명</x:v>
      </x:c>
      <x:c r="J345" s="2" t="str">
        <x:v>비흡연</x:v>
      </x:c>
      <x:c r="K345" s="2" t="str">
        <x:v>없음</x:v>
      </x:c>
      <x:c r="L345" s="2" t="str">
        <x:v>없음</x:v>
      </x:c>
      <x:c r="M345" s="2" t="str">
        <x:v>수호천사 간편심사(유병자)보험</x:v>
      </x:c>
      <x:c r="N345" s="2" t="str">
        <x:f>VLOOKUP(M345,'분류기준'!$A$5:$B$8,2,FALSE)</x:f>
        <x:v>간편심사보험</x:v>
      </x:c>
      <x:c r="O345" s="2" t="str">
        <x:v>중증질환 산정특례 보장 특약</x:v>
      </x:c>
      <x:c r="P345" s="2" t="str">
        <x:f>IF(O345="선택 안함","선택 안함",IF(O345="특약 없음","특약 없음","가입"))</x:f>
        <x:v>가입</x:v>
      </x:c>
      <x:c r="Q345" s="2" t="str">
        <x:f>IF(P345="가입","가입","미가입")</x:f>
        <x:v>가입</x:v>
      </x:c>
    </x:row>
    <x:row r="346" ht="23" customHeight="1">
      <x:c r="A346" s="2" t="str">
        <x:v>C0670</x:v>
      </x:c>
      <x:c r="B346" s="7" t="n">
        <x:v>35</x:v>
      </x:c>
      <x:c r="C346" s="2" t="str">
        <x:f>INT(B346/10)*10&amp;"대"</x:f>
        <x:v>30대</x:v>
      </x:c>
      <x:c r="D346" s="2" t="str">
        <x:v>남성</x:v>
      </x:c>
      <x:c r="E346" s="7" t="n">
        <x:v>5000</x:v>
      </x:c>
      <x:c r="F346" s="7" t="n">
        <x:v>1</x:v>
      </x:c>
      <x:c r="G346" s="2" t="str">
        <x:v>기혼</x:v>
      </x:c>
      <x:c r="H346" s="7" t="n">
        <x:v>1</x:v>
      </x:c>
      <x:c r="I346" s="2" t="str">
        <x:f>IF(H346&lt;3,H346&amp;"명","3명 이상")</x:f>
        <x:v>1명</x:v>
      </x:c>
      <x:c r="J346" s="2" t="str">
        <x:v>비흡연</x:v>
      </x:c>
      <x:c r="K346" s="2" t="str">
        <x:v>없음</x:v>
      </x:c>
      <x:c r="L346" s="2" t="str">
        <x:v>심혈관</x:v>
      </x:c>
      <x:c r="M346" s="2" t="str">
        <x:v>수호천사 암/건강보험</x:v>
      </x:c>
      <x:c r="N346" s="2" t="str">
        <x:f>VLOOKUP(M346,'분류기준'!$A$5:$B$8,2,FALSE)</x:f>
        <x:v>암/건강보험</x:v>
      </x:c>
      <x:c r="O346" s="2" t="str">
        <x:v>선택 안함</x:v>
      </x:c>
      <x:c r="P346" s="2" t="str">
        <x:f>IF(O346="선택 안함","선택 안함",IF(O346="특약 없음","특약 없음","가입"))</x:f>
        <x:v>선택 안함</x:v>
      </x:c>
      <x:c r="Q346" s="2" t="str">
        <x:f>IF(P346="가입","가입","미가입")</x:f>
        <x:v>미가입</x:v>
      </x:c>
    </x:row>
    <x:row r="347" ht="23" customHeight="1">
      <x:c r="A347" s="2" t="str">
        <x:v>C0806</x:v>
      </x:c>
      <x:c r="B347" s="7" t="n">
        <x:v>35</x:v>
      </x:c>
      <x:c r="C347" s="2" t="str">
        <x:f>INT(B347/10)*10&amp;"대"</x:f>
        <x:v>30대</x:v>
      </x:c>
      <x:c r="D347" s="2" t="str">
        <x:v>여성</x:v>
      </x:c>
      <x:c r="E347" s="7" t="n">
        <x:v>12000</x:v>
      </x:c>
      <x:c r="F347" s="7" t="n">
        <x:v>1</x:v>
      </x:c>
      <x:c r="G347" s="2" t="str">
        <x:v>미혼</x:v>
      </x:c>
      <x:c r="H347" s="7" t="n">
        <x:v>0</x:v>
      </x:c>
      <x:c r="I347" s="2" t="str">
        <x:f>IF(H347&lt;3,H347&amp;"명","3명 이상")</x:f>
        <x:v>0명</x:v>
      </x:c>
      <x:c r="J347" s="2" t="str">
        <x:v>비흡연</x:v>
      </x:c>
      <x:c r="K347" s="2" t="str">
        <x:v>없음</x:v>
      </x:c>
      <x:c r="L347" s="2" t="str">
        <x:v>암</x:v>
      </x:c>
      <x:c r="M347" s="2" t="str">
        <x:v>수호천사 암/건강보험</x:v>
      </x:c>
      <x:c r="N347" s="2" t="str">
        <x:f>VLOOKUP(M347,'분류기준'!$A$5:$B$8,2,FALSE)</x:f>
        <x:v>암/건강보험</x:v>
      </x:c>
      <x:c r="O347" s="2" t="str">
        <x:v>표적항암약물허가치료 특약</x:v>
      </x:c>
      <x:c r="P347" s="2" t="str">
        <x:f>IF(O347="선택 안함","선택 안함",IF(O347="특약 없음","특약 없음","가입"))</x:f>
        <x:v>가입</x:v>
      </x:c>
      <x:c r="Q347" s="2" t="str">
        <x:f>IF(P347="가입","가입","미가입")</x:f>
        <x:v>가입</x:v>
      </x:c>
    </x:row>
    <x:row r="348" ht="23" customHeight="1">
      <x:c r="A348" s="2" t="str">
        <x:v>C0809</x:v>
      </x:c>
      <x:c r="B348" s="7" t="n">
        <x:v>35</x:v>
      </x:c>
      <x:c r="C348" s="2" t="str">
        <x:f>INT(B348/10)*10&amp;"대"</x:f>
        <x:v>30대</x:v>
      </x:c>
      <x:c r="D348" s="2" t="str">
        <x:v>여성</x:v>
      </x:c>
      <x:c r="E348" s="7" t="n">
        <x:v>3000</x:v>
      </x:c>
      <x:c r="F348" s="7" t="n">
        <x:v>1</x:v>
      </x:c>
      <x:c r="G348" s="2" t="str">
        <x:v>기혼</x:v>
      </x:c>
      <x:c r="H348" s="7" t="n">
        <x:v>2</x:v>
      </x:c>
      <x:c r="I348" s="2" t="str">
        <x:f>IF(H348&lt;3,H348&amp;"명","3명 이상")</x:f>
        <x:v>2명</x:v>
      </x:c>
      <x:c r="J348" s="2" t="str">
        <x:v>비흡연</x:v>
      </x:c>
      <x:c r="K348" s="2" t="str">
        <x:v>없음</x:v>
      </x:c>
      <x:c r="L348" s="2" t="str">
        <x:v>심혈관</x:v>
      </x:c>
      <x:c r="M348" s="2" t="str">
        <x:v>수호천사 행복 연금보험</x:v>
      </x:c>
      <x:c r="N348" s="2" t="str">
        <x:f>VLOOKUP(M348,'분류기준'!$A$5:$B$8,2,FALSE)</x:f>
        <x:v>연금보험</x:v>
      </x:c>
      <x:c r="O348" s="2" t="str">
        <x:v>특약 없음</x:v>
      </x:c>
      <x:c r="P348" s="2" t="str">
        <x:f>IF(O348="선택 안함","선택 안함",IF(O348="특약 없음","특약 없음","가입"))</x:f>
        <x:v>특약 없음</x:v>
      </x:c>
      <x:c r="Q348" s="2" t="str">
        <x:f>IF(P348="가입","가입","미가입")</x:f>
        <x:v>미가입</x:v>
      </x:c>
    </x:row>
    <x:row r="349" ht="23" customHeight="1">
      <x:c r="A349" s="2" t="str">
        <x:v>C0056</x:v>
      </x:c>
      <x:c r="B349" s="7" t="n">
        <x:v>36</x:v>
      </x:c>
      <x:c r="C349" s="2" t="str">
        <x:f>INT(B349/10)*10&amp;"대"</x:f>
        <x:v>30대</x:v>
      </x:c>
      <x:c r="D349" s="2" t="str">
        <x:v>남성</x:v>
      </x:c>
      <x:c r="E349" s="7" t="n">
        <x:v>4000</x:v>
      </x:c>
      <x:c r="F349" s="7" t="n">
        <x:v>1</x:v>
      </x:c>
      <x:c r="G349" s="2" t="str">
        <x:v>기혼</x:v>
      </x:c>
      <x:c r="H349" s="7" t="n">
        <x:v>1</x:v>
      </x:c>
      <x:c r="I349" s="2" t="str">
        <x:f>IF(H349&lt;3,H349&amp;"명","3명 이상")</x:f>
        <x:v>1명</x:v>
      </x:c>
      <x:c r="J349" s="2" t="str">
        <x:v>흡연</x:v>
      </x:c>
      <x:c r="K349" s="2" t="str">
        <x:v>없음</x:v>
      </x:c>
      <x:c r="L349" s="2" t="str">
        <x:v>없음</x:v>
      </x:c>
      <x:c r="M349" s="2" t="str">
        <x:v>수호천사 암/건강보험</x:v>
      </x:c>
      <x:c r="N349" s="2" t="str">
        <x:f>VLOOKUP(M349,'분류기준'!$A$5:$B$8,2,FALSE)</x:f>
        <x:v>암/건강보험</x:v>
      </x:c>
      <x:c r="O349" s="2" t="str">
        <x:v>선택 안함</x:v>
      </x:c>
      <x:c r="P349" s="2" t="str">
        <x:f>IF(O349="선택 안함","선택 안함",IF(O349="특약 없음","특약 없음","가입"))</x:f>
        <x:v>선택 안함</x:v>
      </x:c>
      <x:c r="Q349" s="2" t="str">
        <x:f>IF(P349="가입","가입","미가입")</x:f>
        <x:v>미가입</x:v>
      </x:c>
    </x:row>
    <x:row r="350" ht="23" customHeight="1">
      <x:c r="A350" s="2" t="str">
        <x:v>C0100</x:v>
      </x:c>
      <x:c r="B350" s="7" t="n">
        <x:v>36</x:v>
      </x:c>
      <x:c r="C350" s="2" t="str">
        <x:f>INT(B350/10)*10&amp;"대"</x:f>
        <x:v>30대</x:v>
      </x:c>
      <x:c r="D350" s="2" t="str">
        <x:v>남성</x:v>
      </x:c>
      <x:c r="E350" s="7" t="n">
        <x:v>4000</x:v>
      </x:c>
      <x:c r="F350" s="7" t="n">
        <x:v>1</x:v>
      </x:c>
      <x:c r="G350" s="2" t="str">
        <x:v>기혼</x:v>
      </x:c>
      <x:c r="H350" s="7" t="n">
        <x:v>1</x:v>
      </x:c>
      <x:c r="I350" s="2" t="str">
        <x:f>IF(H350&lt;3,H350&amp;"명","3명 이상")</x:f>
        <x:v>1명</x:v>
      </x:c>
      <x:c r="J350" s="2" t="str">
        <x:v>비흡연</x:v>
      </x:c>
      <x:c r="K350" s="2" t="str">
        <x:v>없음</x:v>
      </x:c>
      <x:c r="L350" s="2" t="str">
        <x:v>없음</x:v>
      </x:c>
      <x:c r="M350" s="2" t="str">
        <x:v>수호천사 우리가족 종신보험</x:v>
      </x:c>
      <x:c r="N350" s="2" t="str">
        <x:f>VLOOKUP(M350,'분류기준'!$A$5:$B$8,2,FALSE)</x:f>
        <x:v>종신보험</x:v>
      </x:c>
      <x:c r="O350" s="2" t="str">
        <x:v>가족 수입 보장 특약</x:v>
      </x:c>
      <x:c r="P350" s="2" t="str">
        <x:f>IF(O350="선택 안함","선택 안함",IF(O350="특약 없음","특약 없음","가입"))</x:f>
        <x:v>가입</x:v>
      </x:c>
      <x:c r="Q350" s="2" t="str">
        <x:f>IF(P350="가입","가입","미가입")</x:f>
        <x:v>가입</x:v>
      </x:c>
    </x:row>
    <x:row r="351" ht="23" customHeight="1">
      <x:c r="A351" s="2" t="str">
        <x:v>C0200</x:v>
      </x:c>
      <x:c r="B351" s="7" t="n">
        <x:v>36</x:v>
      </x:c>
      <x:c r="C351" s="2" t="str">
        <x:f>INT(B351/10)*10&amp;"대"</x:f>
        <x:v>30대</x:v>
      </x:c>
      <x:c r="D351" s="2" t="str">
        <x:v>남성</x:v>
      </x:c>
      <x:c r="E351" s="7" t="n">
        <x:v>3000</x:v>
      </x:c>
      <x:c r="F351" s="7" t="n">
        <x:v>1</x:v>
      </x:c>
      <x:c r="G351" s="2" t="str">
        <x:v>미혼</x:v>
      </x:c>
      <x:c r="H351" s="7" t="n">
        <x:v>0</x:v>
      </x:c>
      <x:c r="I351" s="2" t="str">
        <x:f>IF(H351&lt;3,H351&amp;"명","3명 이상")</x:f>
        <x:v>0명</x:v>
      </x:c>
      <x:c r="J351" s="2" t="str">
        <x:v>흡연</x:v>
      </x:c>
      <x:c r="K351" s="2" t="str">
        <x:v>없음</x:v>
      </x:c>
      <x:c r="L351" s="2" t="str">
        <x:v>없음</x:v>
      </x:c>
      <x:c r="M351" s="2" t="str">
        <x:v>수호천사 암/건강보험</x:v>
      </x:c>
      <x:c r="N351" s="2" t="str">
        <x:f>VLOOKUP(M351,'분류기준'!$A$5:$B$8,2,FALSE)</x:f>
        <x:v>암/건강보험</x:v>
      </x:c>
      <x:c r="O351" s="2" t="str">
        <x:v>수술비 보장 특약</x:v>
      </x:c>
      <x:c r="P351" s="2" t="str">
        <x:f>IF(O351="선택 안함","선택 안함",IF(O351="특약 없음","특약 없음","가입"))</x:f>
        <x:v>가입</x:v>
      </x:c>
      <x:c r="Q351" s="2" t="str">
        <x:f>IF(P351="가입","가입","미가입")</x:f>
        <x:v>가입</x:v>
      </x:c>
    </x:row>
    <x:row r="352" ht="23" customHeight="1">
      <x:c r="A352" s="2" t="str">
        <x:v>C0218</x:v>
      </x:c>
      <x:c r="B352" s="7" t="n">
        <x:v>36</x:v>
      </x:c>
      <x:c r="C352" s="2" t="str">
        <x:f>INT(B352/10)*10&amp;"대"</x:f>
        <x:v>30대</x:v>
      </x:c>
      <x:c r="D352" s="2" t="str">
        <x:v>남성</x:v>
      </x:c>
      <x:c r="E352" s="7" t="n">
        <x:v>6000</x:v>
      </x:c>
      <x:c r="F352" s="7" t="n">
        <x:v>1</x:v>
      </x:c>
      <x:c r="G352" s="2" t="str">
        <x:v>미혼</x:v>
      </x:c>
      <x:c r="H352" s="7" t="n">
        <x:v>0</x:v>
      </x:c>
      <x:c r="I352" s="2" t="str">
        <x:f>IF(H352&lt;3,H352&amp;"명","3명 이상")</x:f>
        <x:v>0명</x:v>
      </x:c>
      <x:c r="J352" s="2" t="str">
        <x:v>비흡연</x:v>
      </x:c>
      <x:c r="K352" s="2" t="str">
        <x:v>고혈압</x:v>
      </x:c>
      <x:c r="L352" s="2" t="str">
        <x:v>없음</x:v>
      </x:c>
      <x:c r="M352" s="2" t="str">
        <x:v>수호천사 간편심사(유병자)보험</x:v>
      </x:c>
      <x:c r="N352" s="2" t="str">
        <x:f>VLOOKUP(M352,'분류기준'!$A$5:$B$8,2,FALSE)</x:f>
        <x:v>간편심사보험</x:v>
      </x:c>
      <x:c r="O352" s="2" t="str">
        <x:v>중증질환 산정특례 보장 특약</x:v>
      </x:c>
      <x:c r="P352" s="2" t="str">
        <x:f>IF(O352="선택 안함","선택 안함",IF(O352="특약 없음","특약 없음","가입"))</x:f>
        <x:v>가입</x:v>
      </x:c>
      <x:c r="Q352" s="2" t="str">
        <x:f>IF(P352="가입","가입","미가입")</x:f>
        <x:v>가입</x:v>
      </x:c>
    </x:row>
    <x:row r="353" ht="23" customHeight="1">
      <x:c r="A353" s="2" t="str">
        <x:v>C0304</x:v>
      </x:c>
      <x:c r="B353" s="7" t="n">
        <x:v>36</x:v>
      </x:c>
      <x:c r="C353" s="2" t="str">
        <x:f>INT(B353/10)*10&amp;"대"</x:f>
        <x:v>30대</x:v>
      </x:c>
      <x:c r="D353" s="2" t="str">
        <x:v>남성</x:v>
      </x:c>
      <x:c r="E353" s="7" t="n">
        <x:v>5000</x:v>
      </x:c>
      <x:c r="F353" s="7" t="n">
        <x:v>3</x:v>
      </x:c>
      <x:c r="G353" s="2" t="str">
        <x:v>기혼</x:v>
      </x:c>
      <x:c r="H353" s="7" t="n">
        <x:v>1</x:v>
      </x:c>
      <x:c r="I353" s="2" t="str">
        <x:f>IF(H353&lt;3,H353&amp;"명","3명 이상")</x:f>
        <x:v>1명</x:v>
      </x:c>
      <x:c r="J353" s="2" t="str">
        <x:v>비흡연</x:v>
      </x:c>
      <x:c r="K353" s="2" t="str">
        <x:v>없음</x:v>
      </x:c>
      <x:c r="L353" s="2" t="str">
        <x:v>암</x:v>
      </x:c>
      <x:c r="M353" s="2" t="str">
        <x:v>수호천사 암/건강보험</x:v>
      </x:c>
      <x:c r="N353" s="2" t="str">
        <x:f>VLOOKUP(M353,'분류기준'!$A$5:$B$8,2,FALSE)</x:f>
        <x:v>암/건강보험</x:v>
      </x:c>
      <x:c r="O353" s="2" t="str">
        <x:v>수술비 보장 특약</x:v>
      </x:c>
      <x:c r="P353" s="2" t="str">
        <x:f>IF(O353="선택 안함","선택 안함",IF(O353="특약 없음","특약 없음","가입"))</x:f>
        <x:v>가입</x:v>
      </x:c>
      <x:c r="Q353" s="2" t="str">
        <x:f>IF(P353="가입","가입","미가입")</x:f>
        <x:v>가입</x:v>
      </x:c>
    </x:row>
    <x:row r="354" ht="23" customHeight="1">
      <x:c r="A354" s="2" t="str">
        <x:v>C0327</x:v>
      </x:c>
      <x:c r="B354" s="7" t="n">
        <x:v>36</x:v>
      </x:c>
      <x:c r="C354" s="2" t="str">
        <x:f>INT(B354/10)*10&amp;"대"</x:f>
        <x:v>30대</x:v>
      </x:c>
      <x:c r="D354" s="2" t="str">
        <x:v>남성</x:v>
      </x:c>
      <x:c r="E354" s="7" t="n">
        <x:v>4000</x:v>
      </x:c>
      <x:c r="F354" s="7" t="n">
        <x:v>1</x:v>
      </x:c>
      <x:c r="G354" s="2" t="str">
        <x:v>기혼</x:v>
      </x:c>
      <x:c r="H354" s="7" t="n">
        <x:v>2</x:v>
      </x:c>
      <x:c r="I354" s="2" t="str">
        <x:f>IF(H354&lt;3,H354&amp;"명","3명 이상")</x:f>
        <x:v>2명</x:v>
      </x:c>
      <x:c r="J354" s="2" t="str">
        <x:v>비흡연</x:v>
      </x:c>
      <x:c r="K354" s="2" t="str">
        <x:v>없음</x:v>
      </x:c>
      <x:c r="L354" s="2" t="str">
        <x:v>없음</x:v>
      </x:c>
      <x:c r="M354" s="2" t="str">
        <x:v>수호천사 암/건강보험</x:v>
      </x:c>
      <x:c r="N354" s="2" t="str">
        <x:f>VLOOKUP(M354,'분류기준'!$A$5:$B$8,2,FALSE)</x:f>
        <x:v>암/건강보험</x:v>
      </x:c>
      <x:c r="O354" s="2" t="str">
        <x:v>수술비 보장 특약</x:v>
      </x:c>
      <x:c r="P354" s="2" t="str">
        <x:f>IF(O354="선택 안함","선택 안함",IF(O354="특약 없음","특약 없음","가입"))</x:f>
        <x:v>가입</x:v>
      </x:c>
      <x:c r="Q354" s="2" t="str">
        <x:f>IF(P354="가입","가입","미가입")</x:f>
        <x:v>가입</x:v>
      </x:c>
    </x:row>
    <x:row r="355" ht="23" customHeight="1">
      <x:c r="A355" s="2" t="str">
        <x:v>C0364</x:v>
      </x:c>
      <x:c r="B355" s="7" t="n">
        <x:v>36</x:v>
      </x:c>
      <x:c r="C355" s="2" t="str">
        <x:f>INT(B355/10)*10&amp;"대"</x:f>
        <x:v>30대</x:v>
      </x:c>
      <x:c r="D355" s="2" t="str">
        <x:v>여성</x:v>
      </x:c>
      <x:c r="E355" s="7" t="n">
        <x:v>4000</x:v>
      </x:c>
      <x:c r="F355" s="7" t="n">
        <x:v>1</x:v>
      </x:c>
      <x:c r="G355" s="2" t="str">
        <x:v>기혼</x:v>
      </x:c>
      <x:c r="H355" s="7" t="n">
        <x:v>2</x:v>
      </x:c>
      <x:c r="I355" s="2" t="str">
        <x:f>IF(H355&lt;3,H355&amp;"명","3명 이상")</x:f>
        <x:v>2명</x:v>
      </x:c>
      <x:c r="J355" s="2" t="str">
        <x:v>비흡연</x:v>
      </x:c>
      <x:c r="K355" s="2" t="str">
        <x:v>없음</x:v>
      </x:c>
      <x:c r="L355" s="2" t="str">
        <x:v>암</x:v>
      </x:c>
      <x:c r="M355" s="2" t="str">
        <x:v>수호천사 암/건강보험</x:v>
      </x:c>
      <x:c r="N355" s="2" t="str">
        <x:f>VLOOKUP(M355,'분류기준'!$A$5:$B$8,2,FALSE)</x:f>
        <x:v>암/건강보험</x:v>
      </x:c>
      <x:c r="O355" s="2" t="str">
        <x:v>표적항암약물허가치료 특약</x:v>
      </x:c>
      <x:c r="P355" s="2" t="str">
        <x:f>IF(O355="선택 안함","선택 안함",IF(O355="특약 없음","특약 없음","가입"))</x:f>
        <x:v>가입</x:v>
      </x:c>
      <x:c r="Q355" s="2" t="str">
        <x:f>IF(P355="가입","가입","미가입")</x:f>
        <x:v>가입</x:v>
      </x:c>
    </x:row>
    <x:row r="356" ht="23" customHeight="1">
      <x:c r="A356" s="2" t="str">
        <x:v>C0421</x:v>
      </x:c>
      <x:c r="B356" s="7" t="n">
        <x:v>36</x:v>
      </x:c>
      <x:c r="C356" s="2" t="str">
        <x:f>INT(B356/10)*10&amp;"대"</x:f>
        <x:v>30대</x:v>
      </x:c>
      <x:c r="D356" s="2" t="str">
        <x:v>여성</x:v>
      </x:c>
      <x:c r="E356" s="7" t="n">
        <x:v>12000</x:v>
      </x:c>
      <x:c r="F356" s="7" t="n">
        <x:v>1</x:v>
      </x:c>
      <x:c r="G356" s="2" t="str">
        <x:v>기혼</x:v>
      </x:c>
      <x:c r="H356" s="7" t="n">
        <x:v>1</x:v>
      </x:c>
      <x:c r="I356" s="2" t="str">
        <x:f>IF(H356&lt;3,H356&amp;"명","3명 이상")</x:f>
        <x:v>1명</x:v>
      </x:c>
      <x:c r="J356" s="2" t="str">
        <x:v>비흡연</x:v>
      </x:c>
      <x:c r="K356" s="2" t="str">
        <x:v>없음</x:v>
      </x:c>
      <x:c r="L356" s="2" t="str">
        <x:v>심혈관</x:v>
      </x:c>
      <x:c r="M356" s="2" t="str">
        <x:v>수호천사 우리가족 종신보험</x:v>
      </x:c>
      <x:c r="N356" s="2" t="str">
        <x:f>VLOOKUP(M356,'분류기준'!$A$5:$B$8,2,FALSE)</x:f>
        <x:v>종신보험</x:v>
      </x:c>
      <x:c r="O356" s="2" t="str">
        <x:v>가족 수입 보장 특약</x:v>
      </x:c>
      <x:c r="P356" s="2" t="str">
        <x:f>IF(O356="선택 안함","선택 안함",IF(O356="특약 없음","특약 없음","가입"))</x:f>
        <x:v>가입</x:v>
      </x:c>
      <x:c r="Q356" s="2" t="str">
        <x:f>IF(P356="가입","가입","미가입")</x:f>
        <x:v>가입</x:v>
      </x:c>
    </x:row>
    <x:row r="357" ht="23" customHeight="1">
      <x:c r="A357" s="2" t="str">
        <x:v>C0510</x:v>
      </x:c>
      <x:c r="B357" s="7" t="n">
        <x:v>36</x:v>
      </x:c>
      <x:c r="C357" s="2" t="str">
        <x:f>INT(B357/10)*10&amp;"대"</x:f>
        <x:v>30대</x:v>
      </x:c>
      <x:c r="D357" s="2" t="str">
        <x:v>남성</x:v>
      </x:c>
      <x:c r="E357" s="7" t="n">
        <x:v>7500</x:v>
      </x:c>
      <x:c r="F357" s="7" t="n">
        <x:v>1</x:v>
      </x:c>
      <x:c r="G357" s="2" t="str">
        <x:v>기혼</x:v>
      </x:c>
      <x:c r="H357" s="7" t="n">
        <x:v>2</x:v>
      </x:c>
      <x:c r="I357" s="2" t="str">
        <x:f>IF(H357&lt;3,H357&amp;"명","3명 이상")</x:f>
        <x:v>2명</x:v>
      </x:c>
      <x:c r="J357" s="2" t="str">
        <x:v>비흡연</x:v>
      </x:c>
      <x:c r="K357" s="2" t="str">
        <x:v>없음</x:v>
      </x:c>
      <x:c r="L357" s="2" t="str">
        <x:v>없음</x:v>
      </x:c>
      <x:c r="M357" s="2" t="str">
        <x:v>수호천사 암/건강보험</x:v>
      </x:c>
      <x:c r="N357" s="2" t="str">
        <x:f>VLOOKUP(M357,'분류기준'!$A$5:$B$8,2,FALSE)</x:f>
        <x:v>암/건강보험</x:v>
      </x:c>
      <x:c r="O357" s="2" t="str">
        <x:v>수술비 보장 특약</x:v>
      </x:c>
      <x:c r="P357" s="2" t="str">
        <x:f>IF(O357="선택 안함","선택 안함",IF(O357="특약 없음","특약 없음","가입"))</x:f>
        <x:v>가입</x:v>
      </x:c>
      <x:c r="Q357" s="2" t="str">
        <x:f>IF(P357="가입","가입","미가입")</x:f>
        <x:v>가입</x:v>
      </x:c>
    </x:row>
    <x:row r="358" ht="23" customHeight="1">
      <x:c r="A358" s="2" t="str">
        <x:v>C0549</x:v>
      </x:c>
      <x:c r="B358" s="7" t="n">
        <x:v>36</x:v>
      </x:c>
      <x:c r="C358" s="2" t="str">
        <x:f>INT(B358/10)*10&amp;"대"</x:f>
        <x:v>30대</x:v>
      </x:c>
      <x:c r="D358" s="2" t="str">
        <x:v>여성</x:v>
      </x:c>
      <x:c r="E358" s="7" t="n">
        <x:v>6000</x:v>
      </x:c>
      <x:c r="F358" s="7" t="n">
        <x:v>2</x:v>
      </x:c>
      <x:c r="G358" s="2" t="str">
        <x:v>기혼</x:v>
      </x:c>
      <x:c r="H358" s="7" t="n">
        <x:v>3</x:v>
      </x:c>
      <x:c r="I358" s="2" t="str">
        <x:f>IF(H358&lt;3,H358&amp;"명","3명 이상")</x:f>
        <x:v>3명 이상</x:v>
      </x:c>
      <x:c r="J358" s="2" t="str">
        <x:v>비흡연</x:v>
      </x:c>
      <x:c r="K358" s="2" t="str">
        <x:v>없음</x:v>
      </x:c>
      <x:c r="L358" s="2" t="str">
        <x:v>없음</x:v>
      </x:c>
      <x:c r="M358" s="2" t="str">
        <x:v>수호천사 우리가족 종신보험</x:v>
      </x:c>
      <x:c r="N358" s="2" t="str">
        <x:f>VLOOKUP(M358,'분류기준'!$A$5:$B$8,2,FALSE)</x:f>
        <x:v>종신보험</x:v>
      </x:c>
      <x:c r="O358" s="2" t="str">
        <x:v>가족 수입 보장 특약</x:v>
      </x:c>
      <x:c r="P358" s="2" t="str">
        <x:f>IF(O358="선택 안함","선택 안함",IF(O358="특약 없음","특약 없음","가입"))</x:f>
        <x:v>가입</x:v>
      </x:c>
      <x:c r="Q358" s="2" t="str">
        <x:f>IF(P358="가입","가입","미가입")</x:f>
        <x:v>가입</x:v>
      </x:c>
    </x:row>
    <x:row r="359" ht="23" customHeight="1">
      <x:c r="A359" s="2" t="str">
        <x:v>C0592</x:v>
      </x:c>
      <x:c r="B359" s="7" t="n">
        <x:v>36</x:v>
      </x:c>
      <x:c r="C359" s="2" t="str">
        <x:f>INT(B359/10)*10&amp;"대"</x:f>
        <x:v>30대</x:v>
      </x:c>
      <x:c r="D359" s="2" t="str">
        <x:v>남성</x:v>
      </x:c>
      <x:c r="E359" s="7" t="n">
        <x:v>5000</x:v>
      </x:c>
      <x:c r="F359" s="7" t="n">
        <x:v>2</x:v>
      </x:c>
      <x:c r="G359" s="2" t="str">
        <x:v>기혼</x:v>
      </x:c>
      <x:c r="H359" s="7" t="n">
        <x:v>1</x:v>
      </x:c>
      <x:c r="I359" s="2" t="str">
        <x:f>IF(H359&lt;3,H359&amp;"명","3명 이상")</x:f>
        <x:v>1명</x:v>
      </x:c>
      <x:c r="J359" s="2" t="str">
        <x:v>비흡연</x:v>
      </x:c>
      <x:c r="K359" s="2" t="str">
        <x:v>없음</x:v>
      </x:c>
      <x:c r="L359" s="2" t="str">
        <x:v>없음</x:v>
      </x:c>
      <x:c r="M359" s="2" t="str">
        <x:v>수호천사 우리가족 종신보험</x:v>
      </x:c>
      <x:c r="N359" s="2" t="str">
        <x:f>VLOOKUP(M359,'분류기준'!$A$5:$B$8,2,FALSE)</x:f>
        <x:v>종신보험</x:v>
      </x:c>
      <x:c r="O359" s="2" t="str">
        <x:v>가족 수입 보장 특약</x:v>
      </x:c>
      <x:c r="P359" s="2" t="str">
        <x:f>IF(O359="선택 안함","선택 안함",IF(O359="특약 없음","특약 없음","가입"))</x:f>
        <x:v>가입</x:v>
      </x:c>
      <x:c r="Q359" s="2" t="str">
        <x:f>IF(P359="가입","가입","미가입")</x:f>
        <x:v>가입</x:v>
      </x:c>
    </x:row>
    <x:row r="360" ht="23" customHeight="1">
      <x:c r="A360" s="2" t="str">
        <x:v>C0611</x:v>
      </x:c>
      <x:c r="B360" s="7" t="n">
        <x:v>36</x:v>
      </x:c>
      <x:c r="C360" s="2" t="str">
        <x:f>INT(B360/10)*10&amp;"대"</x:f>
        <x:v>30대</x:v>
      </x:c>
      <x:c r="D360" s="2" t="str">
        <x:v>여성</x:v>
      </x:c>
      <x:c r="E360" s="7" t="n">
        <x:v>4000</x:v>
      </x:c>
      <x:c r="F360" s="7" t="n">
        <x:v>1</x:v>
      </x:c>
      <x:c r="G360" s="2" t="str">
        <x:v>기혼</x:v>
      </x:c>
      <x:c r="H360" s="7" t="n">
        <x:v>0</x:v>
      </x:c>
      <x:c r="I360" s="2" t="str">
        <x:f>IF(H360&lt;3,H360&amp;"명","3명 이상")</x:f>
        <x:v>0명</x:v>
      </x:c>
      <x:c r="J360" s="2" t="str">
        <x:v>흡연</x:v>
      </x:c>
      <x:c r="K360" s="2" t="str">
        <x:v>없음</x:v>
      </x:c>
      <x:c r="L360" s="2" t="str">
        <x:v>없음</x:v>
      </x:c>
      <x:c r="M360" s="2" t="str">
        <x:v>수호천사 암/건강보험</x:v>
      </x:c>
      <x:c r="N360" s="2" t="str">
        <x:f>VLOOKUP(M360,'분류기준'!$A$5:$B$8,2,FALSE)</x:f>
        <x:v>암/건강보험</x:v>
      </x:c>
      <x:c r="O360" s="2" t="str">
        <x:v>수술비 보장 특약</x:v>
      </x:c>
      <x:c r="P360" s="2" t="str">
        <x:f>IF(O360="선택 안함","선택 안함",IF(O360="특약 없음","특약 없음","가입"))</x:f>
        <x:v>가입</x:v>
      </x:c>
      <x:c r="Q360" s="2" t="str">
        <x:f>IF(P360="가입","가입","미가입")</x:f>
        <x:v>가입</x:v>
      </x:c>
    </x:row>
    <x:row r="361" ht="23" customHeight="1">
      <x:c r="A361" s="2" t="str">
        <x:v>C0687</x:v>
      </x:c>
      <x:c r="B361" s="7" t="n">
        <x:v>36</x:v>
      </x:c>
      <x:c r="C361" s="2" t="str">
        <x:f>INT(B361/10)*10&amp;"대"</x:f>
        <x:v>30대</x:v>
      </x:c>
      <x:c r="D361" s="2" t="str">
        <x:v>여성</x:v>
      </x:c>
      <x:c r="E361" s="7" t="n">
        <x:v>3000</x:v>
      </x:c>
      <x:c r="F361" s="7" t="n">
        <x:v>1</x:v>
      </x:c>
      <x:c r="G361" s="2" t="str">
        <x:v>기혼</x:v>
      </x:c>
      <x:c r="H361" s="7" t="n">
        <x:v>2</x:v>
      </x:c>
      <x:c r="I361" s="2" t="str">
        <x:f>IF(H361&lt;3,H361&amp;"명","3명 이상")</x:f>
        <x:v>2명</x:v>
      </x:c>
      <x:c r="J361" s="2" t="str">
        <x:v>비흡연</x:v>
      </x:c>
      <x:c r="K361" s="2" t="str">
        <x:v>없음</x:v>
      </x:c>
      <x:c r="L361" s="2" t="str">
        <x:v>심혈관</x:v>
      </x:c>
      <x:c r="M361" s="2" t="str">
        <x:v>수호천사 암/건강보험</x:v>
      </x:c>
      <x:c r="N361" s="2" t="str">
        <x:f>VLOOKUP(M361,'분류기준'!$A$5:$B$8,2,FALSE)</x:f>
        <x:v>암/건강보험</x:v>
      </x:c>
      <x:c r="O361" s="2" t="str">
        <x:v>선택 안함</x:v>
      </x:c>
      <x:c r="P361" s="2" t="str">
        <x:f>IF(O361="선택 안함","선택 안함",IF(O361="특약 없음","특약 없음","가입"))</x:f>
        <x:v>선택 안함</x:v>
      </x:c>
      <x:c r="Q361" s="2" t="str">
        <x:f>IF(P361="가입","가입","미가입")</x:f>
        <x:v>미가입</x:v>
      </x:c>
    </x:row>
    <x:row r="362" ht="23" customHeight="1">
      <x:c r="A362" s="2" t="str">
        <x:v>C0725</x:v>
      </x:c>
      <x:c r="B362" s="7" t="n">
        <x:v>36</x:v>
      </x:c>
      <x:c r="C362" s="2" t="str">
        <x:f>INT(B362/10)*10&amp;"대"</x:f>
        <x:v>30대</x:v>
      </x:c>
      <x:c r="D362" s="2" t="str">
        <x:v>여성</x:v>
      </x:c>
      <x:c r="E362" s="7" t="n">
        <x:v>3000</x:v>
      </x:c>
      <x:c r="F362" s="7" t="n">
        <x:v>3</x:v>
      </x:c>
      <x:c r="G362" s="2" t="str">
        <x:v>미혼</x:v>
      </x:c>
      <x:c r="H362" s="7" t="n">
        <x:v>0</x:v>
      </x:c>
      <x:c r="I362" s="2" t="str">
        <x:f>IF(H362&lt;3,H362&amp;"명","3명 이상")</x:f>
        <x:v>0명</x:v>
      </x:c>
      <x:c r="J362" s="2" t="str">
        <x:v>비흡연</x:v>
      </x:c>
      <x:c r="K362" s="2" t="str">
        <x:v>없음</x:v>
      </x:c>
      <x:c r="L362" s="2" t="str">
        <x:v>없음</x:v>
      </x:c>
      <x:c r="M362" s="2" t="str">
        <x:v>수호천사 암/건강보험</x:v>
      </x:c>
      <x:c r="N362" s="2" t="str">
        <x:f>VLOOKUP(M362,'분류기준'!$A$5:$B$8,2,FALSE)</x:f>
        <x:v>암/건강보험</x:v>
      </x:c>
      <x:c r="O362" s="2" t="str">
        <x:v>선택 안함</x:v>
      </x:c>
      <x:c r="P362" s="2" t="str">
        <x:f>IF(O362="선택 안함","선택 안함",IF(O362="특약 없음","특약 없음","가입"))</x:f>
        <x:v>선택 안함</x:v>
      </x:c>
      <x:c r="Q362" s="2" t="str">
        <x:f>IF(P362="가입","가입","미가입")</x:f>
        <x:v>미가입</x:v>
      </x:c>
    </x:row>
    <x:row r="363" ht="23" customHeight="1">
      <x:c r="A363" s="2" t="str">
        <x:v>C0737</x:v>
      </x:c>
      <x:c r="B363" s="7" t="n">
        <x:v>36</x:v>
      </x:c>
      <x:c r="C363" s="2" t="str">
        <x:f>INT(B363/10)*10&amp;"대"</x:f>
        <x:v>30대</x:v>
      </x:c>
      <x:c r="D363" s="2" t="str">
        <x:v>여성</x:v>
      </x:c>
      <x:c r="E363" s="7" t="n">
        <x:v>6000</x:v>
      </x:c>
      <x:c r="F363" s="7" t="n">
        <x:v>1</x:v>
      </x:c>
      <x:c r="G363" s="2" t="str">
        <x:v>기혼</x:v>
      </x:c>
      <x:c r="H363" s="7" t="n">
        <x:v>2</x:v>
      </x:c>
      <x:c r="I363" s="2" t="str">
        <x:f>IF(H363&lt;3,H363&amp;"명","3명 이상")</x:f>
        <x:v>2명</x:v>
      </x:c>
      <x:c r="J363" s="2" t="str">
        <x:v>비흡연</x:v>
      </x:c>
      <x:c r="K363" s="2" t="str">
        <x:v>당뇨</x:v>
      </x:c>
      <x:c r="L363" s="2" t="str">
        <x:v>암</x:v>
      </x:c>
      <x:c r="M363" s="2" t="str">
        <x:v>수호천사 암/건강보험</x:v>
      </x:c>
      <x:c r="N363" s="2" t="str">
        <x:f>VLOOKUP(M363,'분류기준'!$A$5:$B$8,2,FALSE)</x:f>
        <x:v>암/건강보험</x:v>
      </x:c>
      <x:c r="O363" s="2" t="str">
        <x:v>표적항암약물허가치료 특약</x:v>
      </x:c>
      <x:c r="P363" s="2" t="str">
        <x:f>IF(O363="선택 안함","선택 안함",IF(O363="특약 없음","특약 없음","가입"))</x:f>
        <x:v>가입</x:v>
      </x:c>
      <x:c r="Q363" s="2" t="str">
        <x:f>IF(P363="가입","가입","미가입")</x:f>
        <x:v>가입</x:v>
      </x:c>
    </x:row>
    <x:row r="364" ht="23" customHeight="1">
      <x:c r="A364" s="2" t="str">
        <x:v>C0763</x:v>
      </x:c>
      <x:c r="B364" s="7" t="n">
        <x:v>36</x:v>
      </x:c>
      <x:c r="C364" s="2" t="str">
        <x:f>INT(B364/10)*10&amp;"대"</x:f>
        <x:v>30대</x:v>
      </x:c>
      <x:c r="D364" s="2" t="str">
        <x:v>여성</x:v>
      </x:c>
      <x:c r="E364" s="7" t="n">
        <x:v>3000</x:v>
      </x:c>
      <x:c r="F364" s="7" t="n">
        <x:v>1</x:v>
      </x:c>
      <x:c r="G364" s="2" t="str">
        <x:v>기혼</x:v>
      </x:c>
      <x:c r="H364" s="7" t="n">
        <x:v>1</x:v>
      </x:c>
      <x:c r="I364" s="2" t="str">
        <x:f>IF(H364&lt;3,H364&amp;"명","3명 이상")</x:f>
        <x:v>1명</x:v>
      </x:c>
      <x:c r="J364" s="2" t="str">
        <x:v>흡연</x:v>
      </x:c>
      <x:c r="K364" s="2" t="str">
        <x:v>없음</x:v>
      </x:c>
      <x:c r="L364" s="2" t="str">
        <x:v>없음</x:v>
      </x:c>
      <x:c r="M364" s="2" t="str">
        <x:v>수호천사 암/건강보험</x:v>
      </x:c>
      <x:c r="N364" s="2" t="str">
        <x:f>VLOOKUP(M364,'분류기준'!$A$5:$B$8,2,FALSE)</x:f>
        <x:v>암/건강보험</x:v>
      </x:c>
      <x:c r="O364" s="2" t="str">
        <x:v>수술비 보장 특약</x:v>
      </x:c>
      <x:c r="P364" s="2" t="str">
        <x:f>IF(O364="선택 안함","선택 안함",IF(O364="특약 없음","특약 없음","가입"))</x:f>
        <x:v>가입</x:v>
      </x:c>
      <x:c r="Q364" s="2" t="str">
        <x:f>IF(P364="가입","가입","미가입")</x:f>
        <x:v>가입</x:v>
      </x:c>
    </x:row>
    <x:row r="365" ht="23" customHeight="1">
      <x:c r="A365" s="2" t="str">
        <x:v>C0787</x:v>
      </x:c>
      <x:c r="B365" s="7" t="n">
        <x:v>36</x:v>
      </x:c>
      <x:c r="C365" s="2" t="str">
        <x:f>INT(B365/10)*10&amp;"대"</x:f>
        <x:v>30대</x:v>
      </x:c>
      <x:c r="D365" s="2" t="str">
        <x:v>여성</x:v>
      </x:c>
      <x:c r="E365" s="7" t="n">
        <x:v>4000</x:v>
      </x:c>
      <x:c r="F365" s="7" t="n">
        <x:v>1</x:v>
      </x:c>
      <x:c r="G365" s="2" t="str">
        <x:v>기혼</x:v>
      </x:c>
      <x:c r="H365" s="7" t="n">
        <x:v>1</x:v>
      </x:c>
      <x:c r="I365" s="2" t="str">
        <x:f>IF(H365&lt;3,H365&amp;"명","3명 이상")</x:f>
        <x:v>1명</x:v>
      </x:c>
      <x:c r="J365" s="2" t="str">
        <x:v>비흡연</x:v>
      </x:c>
      <x:c r="K365" s="2" t="str">
        <x:v>없음</x:v>
      </x:c>
      <x:c r="L365" s="2" t="str">
        <x:v>암</x:v>
      </x:c>
      <x:c r="M365" s="2" t="str">
        <x:v>수호천사 행복 연금보험</x:v>
      </x:c>
      <x:c r="N365" s="2" t="str">
        <x:f>VLOOKUP(M365,'분류기준'!$A$5:$B$8,2,FALSE)</x:f>
        <x:v>연금보험</x:v>
      </x:c>
      <x:c r="O365" s="2" t="str">
        <x:v>특약 없음</x:v>
      </x:c>
      <x:c r="P365" s="2" t="str">
        <x:f>IF(O365="선택 안함","선택 안함",IF(O365="특약 없음","특약 없음","가입"))</x:f>
        <x:v>특약 없음</x:v>
      </x:c>
      <x:c r="Q365" s="2" t="str">
        <x:f>IF(P365="가입","가입","미가입")</x:f>
        <x:v>미가입</x:v>
      </x:c>
    </x:row>
    <x:row r="366" ht="23" customHeight="1">
      <x:c r="A366" s="2" t="str">
        <x:v>C0792</x:v>
      </x:c>
      <x:c r="B366" s="7" t="n">
        <x:v>36</x:v>
      </x:c>
      <x:c r="C366" s="2" t="str">
        <x:f>INT(B366/10)*10&amp;"대"</x:f>
        <x:v>30대</x:v>
      </x:c>
      <x:c r="D366" s="2" t="str">
        <x:v>남성</x:v>
      </x:c>
      <x:c r="E366" s="7" t="n">
        <x:v>4000</x:v>
      </x:c>
      <x:c r="F366" s="7" t="n">
        <x:v>2</x:v>
      </x:c>
      <x:c r="G366" s="2" t="str">
        <x:v>미혼</x:v>
      </x:c>
      <x:c r="H366" s="7" t="n">
        <x:v>0</x:v>
      </x:c>
      <x:c r="I366" s="2" t="str">
        <x:f>IF(H366&lt;3,H366&amp;"명","3명 이상")</x:f>
        <x:v>0명</x:v>
      </x:c>
      <x:c r="J366" s="2" t="str">
        <x:v>비흡연</x:v>
      </x:c>
      <x:c r="K366" s="2" t="str">
        <x:v>없음</x:v>
      </x:c>
      <x:c r="L366" s="2" t="str">
        <x:v>없음</x:v>
      </x:c>
      <x:c r="M366" s="2" t="str">
        <x:v>수호천사 우리가족 종신보험</x:v>
      </x:c>
      <x:c r="N366" s="2" t="str">
        <x:f>VLOOKUP(M366,'분류기준'!$A$5:$B$8,2,FALSE)</x:f>
        <x:v>종신보험</x:v>
      </x:c>
      <x:c r="O366" s="2" t="str">
        <x:v>가족 수입 보장 특약</x:v>
      </x:c>
      <x:c r="P366" s="2" t="str">
        <x:f>IF(O366="선택 안함","선택 안함",IF(O366="특약 없음","특약 없음","가입"))</x:f>
        <x:v>가입</x:v>
      </x:c>
      <x:c r="Q366" s="2" t="str">
        <x:f>IF(P366="가입","가입","미가입")</x:f>
        <x:v>가입</x:v>
      </x:c>
    </x:row>
    <x:row r="367" ht="23" customHeight="1">
      <x:c r="A367" s="2" t="str">
        <x:v>C0794</x:v>
      </x:c>
      <x:c r="B367" s="7" t="n">
        <x:v>36</x:v>
      </x:c>
      <x:c r="C367" s="2" t="str">
        <x:f>INT(B367/10)*10&amp;"대"</x:f>
        <x:v>30대</x:v>
      </x:c>
      <x:c r="D367" s="2" t="str">
        <x:v>남성</x:v>
      </x:c>
      <x:c r="E367" s="7" t="n">
        <x:v>6000</x:v>
      </x:c>
      <x:c r="F367" s="7" t="n">
        <x:v>1</x:v>
      </x:c>
      <x:c r="G367" s="2" t="str">
        <x:v>기혼</x:v>
      </x:c>
      <x:c r="H367" s="7" t="n">
        <x:v>2</x:v>
      </x:c>
      <x:c r="I367" s="2" t="str">
        <x:f>IF(H367&lt;3,H367&amp;"명","3명 이상")</x:f>
        <x:v>2명</x:v>
      </x:c>
      <x:c r="J367" s="2" t="str">
        <x:v>비흡연</x:v>
      </x:c>
      <x:c r="K367" s="2" t="str">
        <x:v>없음</x:v>
      </x:c>
      <x:c r="L367" s="2" t="str">
        <x:v>없음</x:v>
      </x:c>
      <x:c r="M367" s="2" t="str">
        <x:v>수호천사 우리가족 종신보험</x:v>
      </x:c>
      <x:c r="N367" s="2" t="str">
        <x:f>VLOOKUP(M367,'분류기준'!$A$5:$B$8,2,FALSE)</x:f>
        <x:v>종신보험</x:v>
      </x:c>
      <x:c r="O367" s="2" t="str">
        <x:v>가족 수입 보장 특약</x:v>
      </x:c>
      <x:c r="P367" s="2" t="str">
        <x:f>IF(O367="선택 안함","선택 안함",IF(O367="특약 없음","특약 없음","가입"))</x:f>
        <x:v>가입</x:v>
      </x:c>
      <x:c r="Q367" s="2" t="str">
        <x:f>IF(P367="가입","가입","미가입")</x:f>
        <x:v>가입</x:v>
      </x:c>
    </x:row>
    <x:row r="368" ht="23" customHeight="1">
      <x:c r="A368" s="2" t="str">
        <x:v>C0846</x:v>
      </x:c>
      <x:c r="B368" s="7" t="n">
        <x:v>36</x:v>
      </x:c>
      <x:c r="C368" s="2" t="str">
        <x:f>INT(B368/10)*10&amp;"대"</x:f>
        <x:v>30대</x:v>
      </x:c>
      <x:c r="D368" s="2" t="str">
        <x:v>남성</x:v>
      </x:c>
      <x:c r="E368" s="7" t="n">
        <x:v>4000</x:v>
      </x:c>
      <x:c r="F368" s="7" t="n">
        <x:v>1</x:v>
      </x:c>
      <x:c r="G368" s="2" t="str">
        <x:v>기혼</x:v>
      </x:c>
      <x:c r="H368" s="7" t="n">
        <x:v>1</x:v>
      </x:c>
      <x:c r="I368" s="2" t="str">
        <x:f>IF(H368&lt;3,H368&amp;"명","3명 이상")</x:f>
        <x:v>1명</x:v>
      </x:c>
      <x:c r="J368" s="2" t="str">
        <x:v>비흡연</x:v>
      </x:c>
      <x:c r="K368" s="2" t="str">
        <x:v>없음</x:v>
      </x:c>
      <x:c r="L368" s="2" t="str">
        <x:v>암</x:v>
      </x:c>
      <x:c r="M368" s="2" t="str">
        <x:v>수호천사 암/건강보험</x:v>
      </x:c>
      <x:c r="N368" s="2" t="str">
        <x:f>VLOOKUP(M368,'분류기준'!$A$5:$B$8,2,FALSE)</x:f>
        <x:v>암/건강보험</x:v>
      </x:c>
      <x:c r="O368" s="2" t="str">
        <x:v>선택 안함</x:v>
      </x:c>
      <x:c r="P368" s="2" t="str">
        <x:f>IF(O368="선택 안함","선택 안함",IF(O368="특약 없음","특약 없음","가입"))</x:f>
        <x:v>선택 안함</x:v>
      </x:c>
      <x:c r="Q368" s="2" t="str">
        <x:f>IF(P368="가입","가입","미가입")</x:f>
        <x:v>미가입</x:v>
      </x:c>
    </x:row>
    <x:row r="369" ht="23" customHeight="1">
      <x:c r="A369" s="2" t="str">
        <x:v>C0879</x:v>
      </x:c>
      <x:c r="B369" s="7" t="n">
        <x:v>36</x:v>
      </x:c>
      <x:c r="C369" s="2" t="str">
        <x:f>INT(B369/10)*10&amp;"대"</x:f>
        <x:v>30대</x:v>
      </x:c>
      <x:c r="D369" s="2" t="str">
        <x:v>남성</x:v>
      </x:c>
      <x:c r="E369" s="7" t="n">
        <x:v>4000</x:v>
      </x:c>
      <x:c r="F369" s="7" t="n">
        <x:v>2</x:v>
      </x:c>
      <x:c r="G369" s="2" t="str">
        <x:v>기혼</x:v>
      </x:c>
      <x:c r="H369" s="7" t="n">
        <x:v>2</x:v>
      </x:c>
      <x:c r="I369" s="2" t="str">
        <x:f>IF(H369&lt;3,H369&amp;"명","3명 이상")</x:f>
        <x:v>2명</x:v>
      </x:c>
      <x:c r="J369" s="2" t="str">
        <x:v>흡연</x:v>
      </x:c>
      <x:c r="K369" s="2" t="str">
        <x:v>없음</x:v>
      </x:c>
      <x:c r="L369" s="2" t="str">
        <x:v>암</x:v>
      </x:c>
      <x:c r="M369" s="2" t="str">
        <x:v>수호천사 우리가족 종신보험</x:v>
      </x:c>
      <x:c r="N369" s="2" t="str">
        <x:f>VLOOKUP(M369,'분류기준'!$A$5:$B$8,2,FALSE)</x:f>
        <x:v>종신보험</x:v>
      </x:c>
      <x:c r="O369" s="2" t="str">
        <x:v>가족 수입 보장 특약</x:v>
      </x:c>
      <x:c r="P369" s="2" t="str">
        <x:f>IF(O369="선택 안함","선택 안함",IF(O369="특약 없음","특약 없음","가입"))</x:f>
        <x:v>가입</x:v>
      </x:c>
      <x:c r="Q369" s="2" t="str">
        <x:f>IF(P369="가입","가입","미가입")</x:f>
        <x:v>가입</x:v>
      </x:c>
    </x:row>
    <x:row r="370" ht="23" customHeight="1">
      <x:c r="A370" s="2" t="str">
        <x:v>C0885</x:v>
      </x:c>
      <x:c r="B370" s="7" t="n">
        <x:v>36</x:v>
      </x:c>
      <x:c r="C370" s="2" t="str">
        <x:f>INT(B370/10)*10&amp;"대"</x:f>
        <x:v>30대</x:v>
      </x:c>
      <x:c r="D370" s="2" t="str">
        <x:v>남성</x:v>
      </x:c>
      <x:c r="E370" s="7" t="n">
        <x:v>5000</x:v>
      </x:c>
      <x:c r="F370" s="7" t="n">
        <x:v>1</x:v>
      </x:c>
      <x:c r="G370" s="2" t="str">
        <x:v>미혼</x:v>
      </x:c>
      <x:c r="H370" s="7" t="n">
        <x:v>0</x:v>
      </x:c>
      <x:c r="I370" s="2" t="str">
        <x:f>IF(H370&lt;3,H370&amp;"명","3명 이상")</x:f>
        <x:v>0명</x:v>
      </x:c>
      <x:c r="J370" s="2" t="str">
        <x:v>비흡연</x:v>
      </x:c>
      <x:c r="K370" s="2" t="str">
        <x:v>없음</x:v>
      </x:c>
      <x:c r="L370" s="2" t="str">
        <x:v>없음</x:v>
      </x:c>
      <x:c r="M370" s="2" t="str">
        <x:v>수호천사 행복 연금보험</x:v>
      </x:c>
      <x:c r="N370" s="2" t="str">
        <x:f>VLOOKUP(M370,'분류기준'!$A$5:$B$8,2,FALSE)</x:f>
        <x:v>연금보험</x:v>
      </x:c>
      <x:c r="O370" s="2" t="str">
        <x:v>특약 없음</x:v>
      </x:c>
      <x:c r="P370" s="2" t="str">
        <x:f>IF(O370="선택 안함","선택 안함",IF(O370="특약 없음","특약 없음","가입"))</x:f>
        <x:v>특약 없음</x:v>
      </x:c>
      <x:c r="Q370" s="2" t="str">
        <x:f>IF(P370="가입","가입","미가입")</x:f>
        <x:v>미가입</x:v>
      </x:c>
    </x:row>
    <x:row r="371" ht="23" customHeight="1">
      <x:c r="A371" s="2" t="str">
        <x:v>C0981</x:v>
      </x:c>
      <x:c r="B371" s="7" t="n">
        <x:v>36</x:v>
      </x:c>
      <x:c r="C371" s="2" t="str">
        <x:f>INT(B371/10)*10&amp;"대"</x:f>
        <x:v>30대</x:v>
      </x:c>
      <x:c r="D371" s="2" t="str">
        <x:v>여성</x:v>
      </x:c>
      <x:c r="E371" s="7" t="n">
        <x:v>3000</x:v>
      </x:c>
      <x:c r="F371" s="7" t="n">
        <x:v>1</x:v>
      </x:c>
      <x:c r="G371" s="2" t="str">
        <x:v>기혼</x:v>
      </x:c>
      <x:c r="H371" s="7" t="n">
        <x:v>0</x:v>
      </x:c>
      <x:c r="I371" s="2" t="str">
        <x:f>IF(H371&lt;3,H371&amp;"명","3명 이상")</x:f>
        <x:v>0명</x:v>
      </x:c>
      <x:c r="J371" s="2" t="str">
        <x:v>비흡연</x:v>
      </x:c>
      <x:c r="K371" s="2" t="str">
        <x:v>고혈압</x:v>
      </x:c>
      <x:c r="L371" s="2" t="str">
        <x:v>심혈관</x:v>
      </x:c>
      <x:c r="M371" s="2" t="str">
        <x:v>수호천사 우리가족 종신보험</x:v>
      </x:c>
      <x:c r="N371" s="2" t="str">
        <x:f>VLOOKUP(M371,'분류기준'!$A$5:$B$8,2,FALSE)</x:f>
        <x:v>종신보험</x:v>
      </x:c>
      <x:c r="O371" s="2" t="str">
        <x:v>선택 안함</x:v>
      </x:c>
      <x:c r="P371" s="2" t="str">
        <x:f>IF(O371="선택 안함","선택 안함",IF(O371="특약 없음","특약 없음","가입"))</x:f>
        <x:v>선택 안함</x:v>
      </x:c>
      <x:c r="Q371" s="2" t="str">
        <x:f>IF(P371="가입","가입","미가입")</x:f>
        <x:v>미가입</x:v>
      </x:c>
    </x:row>
    <x:row r="372" ht="23" customHeight="1">
      <x:c r="A372" s="2" t="str">
        <x:v>C0042</x:v>
      </x:c>
      <x:c r="B372" s="7" t="n">
        <x:v>37</x:v>
      </x:c>
      <x:c r="C372" s="2" t="str">
        <x:f>INT(B372/10)*10&amp;"대"</x:f>
        <x:v>30대</x:v>
      </x:c>
      <x:c r="D372" s="2" t="str">
        <x:v>남성</x:v>
      </x:c>
      <x:c r="E372" s="7" t="n">
        <x:v>7500</x:v>
      </x:c>
      <x:c r="F372" s="7" t="n">
        <x:v>1</x:v>
      </x:c>
      <x:c r="G372" s="2" t="str">
        <x:v>기혼</x:v>
      </x:c>
      <x:c r="H372" s="7" t="n">
        <x:v>1</x:v>
      </x:c>
      <x:c r="I372" s="2" t="str">
        <x:f>IF(H372&lt;3,H372&amp;"명","3명 이상")</x:f>
        <x:v>1명</x:v>
      </x:c>
      <x:c r="J372" s="2" t="str">
        <x:v>비흡연</x:v>
      </x:c>
      <x:c r="K372" s="2" t="str">
        <x:v>없음</x:v>
      </x:c>
      <x:c r="L372" s="2" t="str">
        <x:v>암</x:v>
      </x:c>
      <x:c r="M372" s="2" t="str">
        <x:v>수호천사 우리가족 종신보험</x:v>
      </x:c>
      <x:c r="N372" s="2" t="str">
        <x:f>VLOOKUP(M372,'분류기준'!$A$5:$B$8,2,FALSE)</x:f>
        <x:v>종신보험</x:v>
      </x:c>
      <x:c r="O372" s="2" t="str">
        <x:v>가족 수입 보장 특약</x:v>
      </x:c>
      <x:c r="P372" s="2" t="str">
        <x:f>IF(O372="선택 안함","선택 안함",IF(O372="특약 없음","특약 없음","가입"))</x:f>
        <x:v>가입</x:v>
      </x:c>
      <x:c r="Q372" s="2" t="str">
        <x:f>IF(P372="가입","가입","미가입")</x:f>
        <x:v>가입</x:v>
      </x:c>
    </x:row>
    <x:row r="373" ht="23" customHeight="1">
      <x:c r="A373" s="2" t="str">
        <x:v>C0065</x:v>
      </x:c>
      <x:c r="B373" s="7" t="n">
        <x:v>37</x:v>
      </x:c>
      <x:c r="C373" s="2" t="str">
        <x:f>INT(B373/10)*10&amp;"대"</x:f>
        <x:v>30대</x:v>
      </x:c>
      <x:c r="D373" s="2" t="str">
        <x:v>남성</x:v>
      </x:c>
      <x:c r="E373" s="7" t="n">
        <x:v>7500</x:v>
      </x:c>
      <x:c r="F373" s="7" t="n">
        <x:v>1</x:v>
      </x:c>
      <x:c r="G373" s="2" t="str">
        <x:v>기혼</x:v>
      </x:c>
      <x:c r="H373" s="7" t="n">
        <x:v>2</x:v>
      </x:c>
      <x:c r="I373" s="2" t="str">
        <x:f>IF(H373&lt;3,H373&amp;"명","3명 이상")</x:f>
        <x:v>2명</x:v>
      </x:c>
      <x:c r="J373" s="2" t="str">
        <x:v>비흡연</x:v>
      </x:c>
      <x:c r="K373" s="2" t="str">
        <x:v>없음</x:v>
      </x:c>
      <x:c r="L373" s="2" t="str">
        <x:v>없음</x:v>
      </x:c>
      <x:c r="M373" s="2" t="str">
        <x:v>수호천사 우리가족 종신보험</x:v>
      </x:c>
      <x:c r="N373" s="2" t="str">
        <x:f>VLOOKUP(M373,'분류기준'!$A$5:$B$8,2,FALSE)</x:f>
        <x:v>종신보험</x:v>
      </x:c>
      <x:c r="O373" s="2" t="str">
        <x:v>가족 수입 보장 특약</x:v>
      </x:c>
      <x:c r="P373" s="2" t="str">
        <x:f>IF(O373="선택 안함","선택 안함",IF(O373="특약 없음","특약 없음","가입"))</x:f>
        <x:v>가입</x:v>
      </x:c>
      <x:c r="Q373" s="2" t="str">
        <x:f>IF(P373="가입","가입","미가입")</x:f>
        <x:v>가입</x:v>
      </x:c>
    </x:row>
    <x:row r="374" ht="23" customHeight="1">
      <x:c r="A374" s="2" t="str">
        <x:v>C0081</x:v>
      </x:c>
      <x:c r="B374" s="7" t="n">
        <x:v>37</x:v>
      </x:c>
      <x:c r="C374" s="2" t="str">
        <x:f>INT(B374/10)*10&amp;"대"</x:f>
        <x:v>30대</x:v>
      </x:c>
      <x:c r="D374" s="2" t="str">
        <x:v>남성</x:v>
      </x:c>
      <x:c r="E374" s="7" t="n">
        <x:v>12000</x:v>
      </x:c>
      <x:c r="F374" s="7" t="n">
        <x:v>1</x:v>
      </x:c>
      <x:c r="G374" s="2" t="str">
        <x:v>기혼</x:v>
      </x:c>
      <x:c r="H374" s="7" t="n">
        <x:v>2</x:v>
      </x:c>
      <x:c r="I374" s="2" t="str">
        <x:f>IF(H374&lt;3,H374&amp;"명","3명 이상")</x:f>
        <x:v>2명</x:v>
      </x:c>
      <x:c r="J374" s="2" t="str">
        <x:v>비흡연</x:v>
      </x:c>
      <x:c r="K374" s="2" t="str">
        <x:v>없음</x:v>
      </x:c>
      <x:c r="L374" s="2" t="str">
        <x:v>없음</x:v>
      </x:c>
      <x:c r="M374" s="2" t="str">
        <x:v>수호천사 우리가족 종신보험</x:v>
      </x:c>
      <x:c r="N374" s="2" t="str">
        <x:f>VLOOKUP(M374,'분류기준'!$A$5:$B$8,2,FALSE)</x:f>
        <x:v>종신보험</x:v>
      </x:c>
      <x:c r="O374" s="2" t="str">
        <x:v>가족 수입 보장 특약</x:v>
      </x:c>
      <x:c r="P374" s="2" t="str">
        <x:f>IF(O374="선택 안함","선택 안함",IF(O374="특약 없음","특약 없음","가입"))</x:f>
        <x:v>가입</x:v>
      </x:c>
      <x:c r="Q374" s="2" t="str">
        <x:f>IF(P374="가입","가입","미가입")</x:f>
        <x:v>가입</x:v>
      </x:c>
    </x:row>
    <x:row r="375" ht="23" customHeight="1">
      <x:c r="A375" s="2" t="str">
        <x:v>C0246</x:v>
      </x:c>
      <x:c r="B375" s="7" t="n">
        <x:v>37</x:v>
      </x:c>
      <x:c r="C375" s="2" t="str">
        <x:f>INT(B375/10)*10&amp;"대"</x:f>
        <x:v>30대</x:v>
      </x:c>
      <x:c r="D375" s="2" t="str">
        <x:v>여성</x:v>
      </x:c>
      <x:c r="E375" s="7" t="n">
        <x:v>3000</x:v>
      </x:c>
      <x:c r="F375" s="7" t="n">
        <x:v>1</x:v>
      </x:c>
      <x:c r="G375" s="2" t="str">
        <x:v>기혼</x:v>
      </x:c>
      <x:c r="H375" s="7" t="n">
        <x:v>2</x:v>
      </x:c>
      <x:c r="I375" s="2" t="str">
        <x:f>IF(H375&lt;3,H375&amp;"명","3명 이상")</x:f>
        <x:v>2명</x:v>
      </x:c>
      <x:c r="J375" s="2" t="str">
        <x:v>비흡연</x:v>
      </x:c>
      <x:c r="K375" s="2" t="str">
        <x:v>없음</x:v>
      </x:c>
      <x:c r="L375" s="2" t="str">
        <x:v>없음</x:v>
      </x:c>
      <x:c r="M375" s="2" t="str">
        <x:v>수호천사 암/건강보험</x:v>
      </x:c>
      <x:c r="N375" s="2" t="str">
        <x:f>VLOOKUP(M375,'분류기준'!$A$5:$B$8,2,FALSE)</x:f>
        <x:v>암/건강보험</x:v>
      </x:c>
      <x:c r="O375" s="2" t="str">
        <x:v>수술비 보장 특약</x:v>
      </x:c>
      <x:c r="P375" s="2" t="str">
        <x:f>IF(O375="선택 안함","선택 안함",IF(O375="특약 없음","특약 없음","가입"))</x:f>
        <x:v>가입</x:v>
      </x:c>
      <x:c r="Q375" s="2" t="str">
        <x:f>IF(P375="가입","가입","미가입")</x:f>
        <x:v>가입</x:v>
      </x:c>
    </x:row>
    <x:row r="376" ht="23" customHeight="1">
      <x:c r="A376" s="2" t="str">
        <x:v>C0287</x:v>
      </x:c>
      <x:c r="B376" s="7" t="n">
        <x:v>37</x:v>
      </x:c>
      <x:c r="C376" s="2" t="str">
        <x:f>INT(B376/10)*10&amp;"대"</x:f>
        <x:v>30대</x:v>
      </x:c>
      <x:c r="D376" s="2" t="str">
        <x:v>여성</x:v>
      </x:c>
      <x:c r="E376" s="7" t="n">
        <x:v>7500</x:v>
      </x:c>
      <x:c r="F376" s="7" t="n">
        <x:v>1</x:v>
      </x:c>
      <x:c r="G376" s="2" t="str">
        <x:v>기혼</x:v>
      </x:c>
      <x:c r="H376" s="7" t="n">
        <x:v>2</x:v>
      </x:c>
      <x:c r="I376" s="2" t="str">
        <x:f>IF(H376&lt;3,H376&amp;"명","3명 이상")</x:f>
        <x:v>2명</x:v>
      </x:c>
      <x:c r="J376" s="2" t="str">
        <x:v>비흡연</x:v>
      </x:c>
      <x:c r="K376" s="2" t="str">
        <x:v>당뇨</x:v>
      </x:c>
      <x:c r="L376" s="2" t="str">
        <x:v>없음</x:v>
      </x:c>
      <x:c r="M376" s="2" t="str">
        <x:v>수호천사 우리가족 종신보험</x:v>
      </x:c>
      <x:c r="N376" s="2" t="str">
        <x:f>VLOOKUP(M376,'분류기준'!$A$5:$B$8,2,FALSE)</x:f>
        <x:v>종신보험</x:v>
      </x:c>
      <x:c r="O376" s="2" t="str">
        <x:v>가족 수입 보장 특약</x:v>
      </x:c>
      <x:c r="P376" s="2" t="str">
        <x:f>IF(O376="선택 안함","선택 안함",IF(O376="특약 없음","특약 없음","가입"))</x:f>
        <x:v>가입</x:v>
      </x:c>
      <x:c r="Q376" s="2" t="str">
        <x:f>IF(P376="가입","가입","미가입")</x:f>
        <x:v>가입</x:v>
      </x:c>
    </x:row>
    <x:row r="377" ht="23" customHeight="1">
      <x:c r="A377" s="2" t="str">
        <x:v>C0289</x:v>
      </x:c>
      <x:c r="B377" s="7" t="n">
        <x:v>37</x:v>
      </x:c>
      <x:c r="C377" s="2" t="str">
        <x:f>INT(B377/10)*10&amp;"대"</x:f>
        <x:v>30대</x:v>
      </x:c>
      <x:c r="D377" s="2" t="str">
        <x:v>남성</x:v>
      </x:c>
      <x:c r="E377" s="7" t="n">
        <x:v>5000</x:v>
      </x:c>
      <x:c r="F377" s="7" t="n">
        <x:v>1</x:v>
      </x:c>
      <x:c r="G377" s="2" t="str">
        <x:v>기혼</x:v>
      </x:c>
      <x:c r="H377" s="7" t="n">
        <x:v>2</x:v>
      </x:c>
      <x:c r="I377" s="2" t="str">
        <x:f>IF(H377&lt;3,H377&amp;"명","3명 이상")</x:f>
        <x:v>2명</x:v>
      </x:c>
      <x:c r="J377" s="2" t="str">
        <x:v>비흡연</x:v>
      </x:c>
      <x:c r="K377" s="2" t="str">
        <x:v>없음</x:v>
      </x:c>
      <x:c r="L377" s="2" t="str">
        <x:v>없음</x:v>
      </x:c>
      <x:c r="M377" s="2" t="str">
        <x:v>수호천사 암/건강보험</x:v>
      </x:c>
      <x:c r="N377" s="2" t="str">
        <x:f>VLOOKUP(M377,'분류기준'!$A$5:$B$8,2,FALSE)</x:f>
        <x:v>암/건강보험</x:v>
      </x:c>
      <x:c r="O377" s="2" t="str">
        <x:v>수술비 보장 특약</x:v>
      </x:c>
      <x:c r="P377" s="2" t="str">
        <x:f>IF(O377="선택 안함","선택 안함",IF(O377="특약 없음","특약 없음","가입"))</x:f>
        <x:v>가입</x:v>
      </x:c>
      <x:c r="Q377" s="2" t="str">
        <x:f>IF(P377="가입","가입","미가입")</x:f>
        <x:v>가입</x:v>
      </x:c>
    </x:row>
    <x:row r="378" ht="23" customHeight="1">
      <x:c r="A378" s="2" t="str">
        <x:v>C0348</x:v>
      </x:c>
      <x:c r="B378" s="7" t="n">
        <x:v>37</x:v>
      </x:c>
      <x:c r="C378" s="2" t="str">
        <x:f>INT(B378/10)*10&amp;"대"</x:f>
        <x:v>30대</x:v>
      </x:c>
      <x:c r="D378" s="2" t="str">
        <x:v>여성</x:v>
      </x:c>
      <x:c r="E378" s="7" t="n">
        <x:v>6000</x:v>
      </x:c>
      <x:c r="F378" s="7" t="n">
        <x:v>1</x:v>
      </x:c>
      <x:c r="G378" s="2" t="str">
        <x:v>기혼</x:v>
      </x:c>
      <x:c r="H378" s="7" t="n">
        <x:v>1</x:v>
      </x:c>
      <x:c r="I378" s="2" t="str">
        <x:f>IF(H378&lt;3,H378&amp;"명","3명 이상")</x:f>
        <x:v>1명</x:v>
      </x:c>
      <x:c r="J378" s="2" t="str">
        <x:v>비흡연</x:v>
      </x:c>
      <x:c r="K378" s="2" t="str">
        <x:v>없음</x:v>
      </x:c>
      <x:c r="L378" s="2" t="str">
        <x:v>없음</x:v>
      </x:c>
      <x:c r="M378" s="2" t="str">
        <x:v>수호천사 우리가족 종신보험</x:v>
      </x:c>
      <x:c r="N378" s="2" t="str">
        <x:f>VLOOKUP(M378,'분류기준'!$A$5:$B$8,2,FALSE)</x:f>
        <x:v>종신보험</x:v>
      </x:c>
      <x:c r="O378" s="2" t="str">
        <x:v>가족 수입 보장 특약</x:v>
      </x:c>
      <x:c r="P378" s="2" t="str">
        <x:f>IF(O378="선택 안함","선택 안함",IF(O378="특약 없음","특약 없음","가입"))</x:f>
        <x:v>가입</x:v>
      </x:c>
      <x:c r="Q378" s="2" t="str">
        <x:f>IF(P378="가입","가입","미가입")</x:f>
        <x:v>가입</x:v>
      </x:c>
    </x:row>
    <x:row r="379" ht="23" customHeight="1">
      <x:c r="A379" s="2" t="str">
        <x:v>C0535</x:v>
      </x:c>
      <x:c r="B379" s="7" t="n">
        <x:v>37</x:v>
      </x:c>
      <x:c r="C379" s="2" t="str">
        <x:f>INT(B379/10)*10&amp;"대"</x:f>
        <x:v>30대</x:v>
      </x:c>
      <x:c r="D379" s="2" t="str">
        <x:v>남성</x:v>
      </x:c>
      <x:c r="E379" s="7" t="n">
        <x:v>3000</x:v>
      </x:c>
      <x:c r="F379" s="7" t="n">
        <x:v>1</x:v>
      </x:c>
      <x:c r="G379" s="2" t="str">
        <x:v>기혼</x:v>
      </x:c>
      <x:c r="H379" s="7" t="n">
        <x:v>2</x:v>
      </x:c>
      <x:c r="I379" s="2" t="str">
        <x:f>IF(H379&lt;3,H379&amp;"명","3명 이상")</x:f>
        <x:v>2명</x:v>
      </x:c>
      <x:c r="J379" s="2" t="str">
        <x:v>비흡연</x:v>
      </x:c>
      <x:c r="K379" s="2" t="str">
        <x:v>없음</x:v>
      </x:c>
      <x:c r="L379" s="2" t="str">
        <x:v>심혈관</x:v>
      </x:c>
      <x:c r="M379" s="2" t="str">
        <x:v>수호천사 우리가족 종신보험</x:v>
      </x:c>
      <x:c r="N379" s="2" t="str">
        <x:f>VLOOKUP(M379,'분류기준'!$A$5:$B$8,2,FALSE)</x:f>
        <x:v>종신보험</x:v>
      </x:c>
      <x:c r="O379" s="2" t="str">
        <x:v>가족 수입 보장 특약</x:v>
      </x:c>
      <x:c r="P379" s="2" t="str">
        <x:f>IF(O379="선택 안함","선택 안함",IF(O379="특약 없음","특약 없음","가입"))</x:f>
        <x:v>가입</x:v>
      </x:c>
      <x:c r="Q379" s="2" t="str">
        <x:f>IF(P379="가입","가입","미가입")</x:f>
        <x:v>가입</x:v>
      </x:c>
    </x:row>
    <x:row r="380" ht="23" customHeight="1">
      <x:c r="A380" s="2" t="str">
        <x:v>C0587</x:v>
      </x:c>
      <x:c r="B380" s="7" t="n">
        <x:v>37</x:v>
      </x:c>
      <x:c r="C380" s="2" t="str">
        <x:f>INT(B380/10)*10&amp;"대"</x:f>
        <x:v>30대</x:v>
      </x:c>
      <x:c r="D380" s="2" t="str">
        <x:v>남성</x:v>
      </x:c>
      <x:c r="E380" s="7" t="n">
        <x:v>7500</x:v>
      </x:c>
      <x:c r="F380" s="7" t="n">
        <x:v>1</x:v>
      </x:c>
      <x:c r="G380" s="2" t="str">
        <x:v>기혼</x:v>
      </x:c>
      <x:c r="H380" s="7" t="n">
        <x:v>0</x:v>
      </x:c>
      <x:c r="I380" s="2" t="str">
        <x:f>IF(H380&lt;3,H380&amp;"명","3명 이상")</x:f>
        <x:v>0명</x:v>
      </x:c>
      <x:c r="J380" s="2" t="str">
        <x:v>흡연</x:v>
      </x:c>
      <x:c r="K380" s="2" t="str">
        <x:v>없음</x:v>
      </x:c>
      <x:c r="L380" s="2" t="str">
        <x:v>암</x:v>
      </x:c>
      <x:c r="M380" s="2" t="str">
        <x:v>수호천사 암/건강보험</x:v>
      </x:c>
      <x:c r="N380" s="2" t="str">
        <x:f>VLOOKUP(M380,'분류기준'!$A$5:$B$8,2,FALSE)</x:f>
        <x:v>암/건강보험</x:v>
      </x:c>
      <x:c r="O380" s="2" t="str">
        <x:v>수술비 보장 특약</x:v>
      </x:c>
      <x:c r="P380" s="2" t="str">
        <x:f>IF(O380="선택 안함","선택 안함",IF(O380="특약 없음","특약 없음","가입"))</x:f>
        <x:v>가입</x:v>
      </x:c>
      <x:c r="Q380" s="2" t="str">
        <x:f>IF(P380="가입","가입","미가입")</x:f>
        <x:v>가입</x:v>
      </x:c>
    </x:row>
    <x:row r="381" ht="23" customHeight="1">
      <x:c r="A381" s="2" t="str">
        <x:v>C0657</x:v>
      </x:c>
      <x:c r="B381" s="7" t="n">
        <x:v>37</x:v>
      </x:c>
      <x:c r="C381" s="2" t="str">
        <x:f>INT(B381/10)*10&amp;"대"</x:f>
        <x:v>30대</x:v>
      </x:c>
      <x:c r="D381" s="2" t="str">
        <x:v>남성</x:v>
      </x:c>
      <x:c r="E381" s="7" t="n">
        <x:v>4000</x:v>
      </x:c>
      <x:c r="F381" s="7" t="n">
        <x:v>2</x:v>
      </x:c>
      <x:c r="G381" s="2" t="str">
        <x:v>기혼</x:v>
      </x:c>
      <x:c r="H381" s="7" t="n">
        <x:v>2</x:v>
      </x:c>
      <x:c r="I381" s="2" t="str">
        <x:f>IF(H381&lt;3,H381&amp;"명","3명 이상")</x:f>
        <x:v>2명</x:v>
      </x:c>
      <x:c r="J381" s="2" t="str">
        <x:v>비흡연</x:v>
      </x:c>
      <x:c r="K381" s="2" t="str">
        <x:v>없음</x:v>
      </x:c>
      <x:c r="L381" s="2" t="str">
        <x:v>없음</x:v>
      </x:c>
      <x:c r="M381" s="2" t="str">
        <x:v>수호천사 암/건강보험</x:v>
      </x:c>
      <x:c r="N381" s="2" t="str">
        <x:f>VLOOKUP(M381,'분류기준'!$A$5:$B$8,2,FALSE)</x:f>
        <x:v>암/건강보험</x:v>
      </x:c>
      <x:c r="O381" s="2" t="str">
        <x:v>수술비 보장 특약</x:v>
      </x:c>
      <x:c r="P381" s="2" t="str">
        <x:f>IF(O381="선택 안함","선택 안함",IF(O381="특약 없음","특약 없음","가입"))</x:f>
        <x:v>가입</x:v>
      </x:c>
      <x:c r="Q381" s="2" t="str">
        <x:f>IF(P381="가입","가입","미가입")</x:f>
        <x:v>가입</x:v>
      </x:c>
    </x:row>
    <x:row r="382" ht="23" customHeight="1">
      <x:c r="A382" s="2" t="str">
        <x:v>C0698</x:v>
      </x:c>
      <x:c r="B382" s="7" t="n">
        <x:v>37</x:v>
      </x:c>
      <x:c r="C382" s="2" t="str">
        <x:f>INT(B382/10)*10&amp;"대"</x:f>
        <x:v>30대</x:v>
      </x:c>
      <x:c r="D382" s="2" t="str">
        <x:v>남성</x:v>
      </x:c>
      <x:c r="E382" s="7" t="n">
        <x:v>4000</x:v>
      </x:c>
      <x:c r="F382" s="7" t="n">
        <x:v>3</x:v>
      </x:c>
      <x:c r="G382" s="2" t="str">
        <x:v>기혼</x:v>
      </x:c>
      <x:c r="H382" s="7" t="n">
        <x:v>1</x:v>
      </x:c>
      <x:c r="I382" s="2" t="str">
        <x:f>IF(H382&lt;3,H382&amp;"명","3명 이상")</x:f>
        <x:v>1명</x:v>
      </x:c>
      <x:c r="J382" s="2" t="str">
        <x:v>비흡연</x:v>
      </x:c>
      <x:c r="K382" s="2" t="str">
        <x:v>없음</x:v>
      </x:c>
      <x:c r="L382" s="2" t="str">
        <x:v>없음</x:v>
      </x:c>
      <x:c r="M382" s="2" t="str">
        <x:v>수호천사 행복 연금보험</x:v>
      </x:c>
      <x:c r="N382" s="2" t="str">
        <x:f>VLOOKUP(M382,'분류기준'!$A$5:$B$8,2,FALSE)</x:f>
        <x:v>연금보험</x:v>
      </x:c>
      <x:c r="O382" s="2" t="str">
        <x:v>특약 없음</x:v>
      </x:c>
      <x:c r="P382" s="2" t="str">
        <x:f>IF(O382="선택 안함","선택 안함",IF(O382="특약 없음","특약 없음","가입"))</x:f>
        <x:v>특약 없음</x:v>
      </x:c>
      <x:c r="Q382" s="2" t="str">
        <x:f>IF(P382="가입","가입","미가입")</x:f>
        <x:v>미가입</x:v>
      </x:c>
    </x:row>
    <x:row r="383" ht="23" customHeight="1">
      <x:c r="A383" s="2" t="str">
        <x:v>C0708</x:v>
      </x:c>
      <x:c r="B383" s="7" t="n">
        <x:v>37</x:v>
      </x:c>
      <x:c r="C383" s="2" t="str">
        <x:f>INT(B383/10)*10&amp;"대"</x:f>
        <x:v>30대</x:v>
      </x:c>
      <x:c r="D383" s="2" t="str">
        <x:v>남성</x:v>
      </x:c>
      <x:c r="E383" s="7" t="n">
        <x:v>12000</x:v>
      </x:c>
      <x:c r="F383" s="7" t="n">
        <x:v>1</x:v>
      </x:c>
      <x:c r="G383" s="2" t="str">
        <x:v>기혼</x:v>
      </x:c>
      <x:c r="H383" s="7" t="n">
        <x:v>1</x:v>
      </x:c>
      <x:c r="I383" s="2" t="str">
        <x:f>IF(H383&lt;3,H383&amp;"명","3명 이상")</x:f>
        <x:v>1명</x:v>
      </x:c>
      <x:c r="J383" s="2" t="str">
        <x:v>흡연</x:v>
      </x:c>
      <x:c r="K383" s="2" t="str">
        <x:v>없음</x:v>
      </x:c>
      <x:c r="L383" s="2" t="str">
        <x:v>없음</x:v>
      </x:c>
      <x:c r="M383" s="2" t="str">
        <x:v>수호천사 간편심사(유병자)보험</x:v>
      </x:c>
      <x:c r="N383" s="2" t="str">
        <x:f>VLOOKUP(M383,'분류기준'!$A$5:$B$8,2,FALSE)</x:f>
        <x:v>간편심사보험</x:v>
      </x:c>
      <x:c r="O383" s="2" t="str">
        <x:v>중증질환 산정특례 보장 특약</x:v>
      </x:c>
      <x:c r="P383" s="2" t="str">
        <x:f>IF(O383="선택 안함","선택 안함",IF(O383="특약 없음","특약 없음","가입"))</x:f>
        <x:v>가입</x:v>
      </x:c>
      <x:c r="Q383" s="2" t="str">
        <x:f>IF(P383="가입","가입","미가입")</x:f>
        <x:v>가입</x:v>
      </x:c>
    </x:row>
    <x:row r="384" ht="23" customHeight="1">
      <x:c r="A384" s="2" t="str">
        <x:v>C0776</x:v>
      </x:c>
      <x:c r="B384" s="7" t="n">
        <x:v>37</x:v>
      </x:c>
      <x:c r="C384" s="2" t="str">
        <x:f>INT(B384/10)*10&amp;"대"</x:f>
        <x:v>30대</x:v>
      </x:c>
      <x:c r="D384" s="2" t="str">
        <x:v>여성</x:v>
      </x:c>
      <x:c r="E384" s="7" t="n">
        <x:v>5000</x:v>
      </x:c>
      <x:c r="F384" s="7" t="n">
        <x:v>1</x:v>
      </x:c>
      <x:c r="G384" s="2" t="str">
        <x:v>기혼</x:v>
      </x:c>
      <x:c r="H384" s="7" t="n">
        <x:v>1</x:v>
      </x:c>
      <x:c r="I384" s="2" t="str">
        <x:f>IF(H384&lt;3,H384&amp;"명","3명 이상")</x:f>
        <x:v>1명</x:v>
      </x:c>
      <x:c r="J384" s="2" t="str">
        <x:v>비흡연</x:v>
      </x:c>
      <x:c r="K384" s="2" t="str">
        <x:v>없음</x:v>
      </x:c>
      <x:c r="L384" s="2" t="str">
        <x:v>심혈관</x:v>
      </x:c>
      <x:c r="M384" s="2" t="str">
        <x:v>수호천사 암/건강보험</x:v>
      </x:c>
      <x:c r="N384" s="2" t="str">
        <x:f>VLOOKUP(M384,'분류기준'!$A$5:$B$8,2,FALSE)</x:f>
        <x:v>암/건강보험</x:v>
      </x:c>
      <x:c r="O384" s="2" t="str">
        <x:v>표적항암약물허가치료 특약</x:v>
      </x:c>
      <x:c r="P384" s="2" t="str">
        <x:f>IF(O384="선택 안함","선택 안함",IF(O384="특약 없음","특약 없음","가입"))</x:f>
        <x:v>가입</x:v>
      </x:c>
      <x:c r="Q384" s="2" t="str">
        <x:f>IF(P384="가입","가입","미가입")</x:f>
        <x:v>가입</x:v>
      </x:c>
    </x:row>
    <x:row r="385" ht="23" customHeight="1">
      <x:c r="A385" s="2" t="str">
        <x:v>C0824</x:v>
      </x:c>
      <x:c r="B385" s="7" t="n">
        <x:v>37</x:v>
      </x:c>
      <x:c r="C385" s="2" t="str">
        <x:f>INT(B385/10)*10&amp;"대"</x:f>
        <x:v>30대</x:v>
      </x:c>
      <x:c r="D385" s="2" t="str">
        <x:v>여성</x:v>
      </x:c>
      <x:c r="E385" s="7" t="n">
        <x:v>4000</x:v>
      </x:c>
      <x:c r="F385" s="7" t="n">
        <x:v>1</x:v>
      </x:c>
      <x:c r="G385" s="2" t="str">
        <x:v>미혼</x:v>
      </x:c>
      <x:c r="H385" s="7" t="n">
        <x:v>0</x:v>
      </x:c>
      <x:c r="I385" s="2" t="str">
        <x:f>IF(H385&lt;3,H385&amp;"명","3명 이상")</x:f>
        <x:v>0명</x:v>
      </x:c>
      <x:c r="J385" s="2" t="str">
        <x:v>비흡연</x:v>
      </x:c>
      <x:c r="K385" s="2" t="str">
        <x:v>없음</x:v>
      </x:c>
      <x:c r="L385" s="2" t="str">
        <x:v>심혈관</x:v>
      </x:c>
      <x:c r="M385" s="2" t="str">
        <x:v>수호천사 간편심사(유병자)보험</x:v>
      </x:c>
      <x:c r="N385" s="2" t="str">
        <x:f>VLOOKUP(M385,'분류기준'!$A$5:$B$8,2,FALSE)</x:f>
        <x:v>간편심사보험</x:v>
      </x:c>
      <x:c r="O385" s="2" t="str">
        <x:v>중증질환 산정특례 보장 특약</x:v>
      </x:c>
      <x:c r="P385" s="2" t="str">
        <x:f>IF(O385="선택 안함","선택 안함",IF(O385="특약 없음","특약 없음","가입"))</x:f>
        <x:v>가입</x:v>
      </x:c>
      <x:c r="Q385" s="2" t="str">
        <x:f>IF(P385="가입","가입","미가입")</x:f>
        <x:v>가입</x:v>
      </x:c>
    </x:row>
    <x:row r="386" ht="23" customHeight="1">
      <x:c r="A386" s="2" t="str">
        <x:v>C0870</x:v>
      </x:c>
      <x:c r="B386" s="7" t="n">
        <x:v>37</x:v>
      </x:c>
      <x:c r="C386" s="2" t="str">
        <x:f>INT(B386/10)*10&amp;"대"</x:f>
        <x:v>30대</x:v>
      </x:c>
      <x:c r="D386" s="2" t="str">
        <x:v>여성</x:v>
      </x:c>
      <x:c r="E386" s="7" t="n">
        <x:v>5000</x:v>
      </x:c>
      <x:c r="F386" s="7" t="n">
        <x:v>2</x:v>
      </x:c>
      <x:c r="G386" s="2" t="str">
        <x:v>미혼</x:v>
      </x:c>
      <x:c r="H386" s="7" t="n">
        <x:v>0</x:v>
      </x:c>
      <x:c r="I386" s="2" t="str">
        <x:f>IF(H386&lt;3,H386&amp;"명","3명 이상")</x:f>
        <x:v>0명</x:v>
      </x:c>
      <x:c r="J386" s="2" t="str">
        <x:v>비흡연</x:v>
      </x:c>
      <x:c r="K386" s="2" t="str">
        <x:v>없음</x:v>
      </x:c>
      <x:c r="L386" s="2" t="str">
        <x:v>없음</x:v>
      </x:c>
      <x:c r="M386" s="2" t="str">
        <x:v>수호천사 행복 연금보험</x:v>
      </x:c>
      <x:c r="N386" s="2" t="str">
        <x:f>VLOOKUP(M386,'분류기준'!$A$5:$B$8,2,FALSE)</x:f>
        <x:v>연금보험</x:v>
      </x:c>
      <x:c r="O386" s="2" t="str">
        <x:v>특약 없음</x:v>
      </x:c>
      <x:c r="P386" s="2" t="str">
        <x:f>IF(O386="선택 안함","선택 안함",IF(O386="특약 없음","특약 없음","가입"))</x:f>
        <x:v>특약 없음</x:v>
      </x:c>
      <x:c r="Q386" s="2" t="str">
        <x:f>IF(P386="가입","가입","미가입")</x:f>
        <x:v>미가입</x:v>
      </x:c>
    </x:row>
    <x:row r="387" ht="23" customHeight="1">
      <x:c r="A387" s="2" t="str">
        <x:v>C0894</x:v>
      </x:c>
      <x:c r="B387" s="7" t="n">
        <x:v>37</x:v>
      </x:c>
      <x:c r="C387" s="2" t="str">
        <x:f>INT(B387/10)*10&amp;"대"</x:f>
        <x:v>30대</x:v>
      </x:c>
      <x:c r="D387" s="2" t="str">
        <x:v>남성</x:v>
      </x:c>
      <x:c r="E387" s="7" t="n">
        <x:v>3000</x:v>
      </x:c>
      <x:c r="F387" s="7" t="n">
        <x:v>2</x:v>
      </x:c>
      <x:c r="G387" s="2" t="str">
        <x:v>미혼</x:v>
      </x:c>
      <x:c r="H387" s="7" t="n">
        <x:v>0</x:v>
      </x:c>
      <x:c r="I387" s="2" t="str">
        <x:f>IF(H387&lt;3,H387&amp;"명","3명 이상")</x:f>
        <x:v>0명</x:v>
      </x:c>
      <x:c r="J387" s="2" t="str">
        <x:v>비흡연</x:v>
      </x:c>
      <x:c r="K387" s="2" t="str">
        <x:v>없음</x:v>
      </x:c>
      <x:c r="L387" s="2" t="str">
        <x:v>암</x:v>
      </x:c>
      <x:c r="M387" s="2" t="str">
        <x:v>수호천사 암/건강보험</x:v>
      </x:c>
      <x:c r="N387" s="2" t="str">
        <x:f>VLOOKUP(M387,'분류기준'!$A$5:$B$8,2,FALSE)</x:f>
        <x:v>암/건강보험</x:v>
      </x:c>
      <x:c r="O387" s="2" t="str">
        <x:v>선택 안함</x:v>
      </x:c>
      <x:c r="P387" s="2" t="str">
        <x:f>IF(O387="선택 안함","선택 안함",IF(O387="특약 없음","특약 없음","가입"))</x:f>
        <x:v>선택 안함</x:v>
      </x:c>
      <x:c r="Q387" s="2" t="str">
        <x:f>IF(P387="가입","가입","미가입")</x:f>
        <x:v>미가입</x:v>
      </x:c>
    </x:row>
    <x:row r="388" ht="23" customHeight="1">
      <x:c r="A388" s="2" t="str">
        <x:v>C0008</x:v>
      </x:c>
      <x:c r="B388" s="7" t="n">
        <x:v>38</x:v>
      </x:c>
      <x:c r="C388" s="2" t="str">
        <x:f>INT(B388/10)*10&amp;"대"</x:f>
        <x:v>30대</x:v>
      </x:c>
      <x:c r="D388" s="2" t="str">
        <x:v>남성</x:v>
      </x:c>
      <x:c r="E388" s="7" t="n">
        <x:v>3000</x:v>
      </x:c>
      <x:c r="F388" s="7" t="n">
        <x:v>1</x:v>
      </x:c>
      <x:c r="G388" s="2" t="str">
        <x:v>미혼</x:v>
      </x:c>
      <x:c r="H388" s="7" t="n">
        <x:v>0</x:v>
      </x:c>
      <x:c r="I388" s="2" t="str">
        <x:f>IF(H388&lt;3,H388&amp;"명","3명 이상")</x:f>
        <x:v>0명</x:v>
      </x:c>
      <x:c r="J388" s="2" t="str">
        <x:v>흡연</x:v>
      </x:c>
      <x:c r="K388" s="2" t="str">
        <x:v>없음</x:v>
      </x:c>
      <x:c r="L388" s="2" t="str">
        <x:v>없음</x:v>
      </x:c>
      <x:c r="M388" s="2" t="str">
        <x:v>수호천사 우리가족 종신보험</x:v>
      </x:c>
      <x:c r="N388" s="2" t="str">
        <x:f>VLOOKUP(M388,'분류기준'!$A$5:$B$8,2,FALSE)</x:f>
        <x:v>종신보험</x:v>
      </x:c>
      <x:c r="O388" s="2" t="str">
        <x:v>선택 안함</x:v>
      </x:c>
      <x:c r="P388" s="2" t="str">
        <x:f>IF(O388="선택 안함","선택 안함",IF(O388="특약 없음","특약 없음","가입"))</x:f>
        <x:v>선택 안함</x:v>
      </x:c>
      <x:c r="Q388" s="2" t="str">
        <x:f>IF(P388="가입","가입","미가입")</x:f>
        <x:v>미가입</x:v>
      </x:c>
    </x:row>
    <x:row r="389" ht="23" customHeight="1">
      <x:c r="A389" s="2" t="str">
        <x:v>C0209</x:v>
      </x:c>
      <x:c r="B389" s="7" t="n">
        <x:v>38</x:v>
      </x:c>
      <x:c r="C389" s="2" t="str">
        <x:f>INT(B389/10)*10&amp;"대"</x:f>
        <x:v>30대</x:v>
      </x:c>
      <x:c r="D389" s="2" t="str">
        <x:v>남성</x:v>
      </x:c>
      <x:c r="E389" s="7" t="n">
        <x:v>6000</x:v>
      </x:c>
      <x:c r="F389" s="7" t="n">
        <x:v>1</x:v>
      </x:c>
      <x:c r="G389" s="2" t="str">
        <x:v>미혼</x:v>
      </x:c>
      <x:c r="H389" s="7" t="n">
        <x:v>0</x:v>
      </x:c>
      <x:c r="I389" s="2" t="str">
        <x:f>IF(H389&lt;3,H389&amp;"명","3명 이상")</x:f>
        <x:v>0명</x:v>
      </x:c>
      <x:c r="J389" s="2" t="str">
        <x:v>흡연</x:v>
      </x:c>
      <x:c r="K389" s="2" t="str">
        <x:v>없음</x:v>
      </x:c>
      <x:c r="L389" s="2" t="str">
        <x:v>없음</x:v>
      </x:c>
      <x:c r="M389" s="2" t="str">
        <x:v>수호천사 행복 연금보험</x:v>
      </x:c>
      <x:c r="N389" s="2" t="str">
        <x:f>VLOOKUP(M389,'분류기준'!$A$5:$B$8,2,FALSE)</x:f>
        <x:v>연금보험</x:v>
      </x:c>
      <x:c r="O389" s="2" t="str">
        <x:v>특약 없음</x:v>
      </x:c>
      <x:c r="P389" s="2" t="str">
        <x:f>IF(O389="선택 안함","선택 안함",IF(O389="특약 없음","특약 없음","가입"))</x:f>
        <x:v>특약 없음</x:v>
      </x:c>
      <x:c r="Q389" s="2" t="str">
        <x:f>IF(P389="가입","가입","미가입")</x:f>
        <x:v>미가입</x:v>
      </x:c>
    </x:row>
    <x:row r="390" ht="23" customHeight="1">
      <x:c r="A390" s="2" t="str">
        <x:v>C0235</x:v>
      </x:c>
      <x:c r="B390" s="7" t="n">
        <x:v>38</x:v>
      </x:c>
      <x:c r="C390" s="2" t="str">
        <x:f>INT(B390/10)*10&amp;"대"</x:f>
        <x:v>30대</x:v>
      </x:c>
      <x:c r="D390" s="2" t="str">
        <x:v>남성</x:v>
      </x:c>
      <x:c r="E390" s="7" t="n">
        <x:v>5000</x:v>
      </x:c>
      <x:c r="F390" s="7" t="n">
        <x:v>1</x:v>
      </x:c>
      <x:c r="G390" s="2" t="str">
        <x:v>기혼</x:v>
      </x:c>
      <x:c r="H390" s="7" t="n">
        <x:v>1</x:v>
      </x:c>
      <x:c r="I390" s="2" t="str">
        <x:f>IF(H390&lt;3,H390&amp;"명","3명 이상")</x:f>
        <x:v>1명</x:v>
      </x:c>
      <x:c r="J390" s="2" t="str">
        <x:v>비흡연</x:v>
      </x:c>
      <x:c r="K390" s="2" t="str">
        <x:v>없음</x:v>
      </x:c>
      <x:c r="L390" s="2" t="str">
        <x:v>없음</x:v>
      </x:c>
      <x:c r="M390" s="2" t="str">
        <x:v>수호천사 우리가족 종신보험</x:v>
      </x:c>
      <x:c r="N390" s="2" t="str">
        <x:f>VLOOKUP(M390,'분류기준'!$A$5:$B$8,2,FALSE)</x:f>
        <x:v>종신보험</x:v>
      </x:c>
      <x:c r="O390" s="2" t="str">
        <x:v>가족 수입 보장 특약</x:v>
      </x:c>
      <x:c r="P390" s="2" t="str">
        <x:f>IF(O390="선택 안함","선택 안함",IF(O390="특약 없음","특약 없음","가입"))</x:f>
        <x:v>가입</x:v>
      </x:c>
      <x:c r="Q390" s="2" t="str">
        <x:f>IF(P390="가입","가입","미가입")</x:f>
        <x:v>가입</x:v>
      </x:c>
    </x:row>
    <x:row r="391" ht="23" customHeight="1">
      <x:c r="A391" s="2" t="str">
        <x:v>C0238</x:v>
      </x:c>
      <x:c r="B391" s="7" t="n">
        <x:v>38</x:v>
      </x:c>
      <x:c r="C391" s="2" t="str">
        <x:f>INT(B391/10)*10&amp;"대"</x:f>
        <x:v>30대</x:v>
      </x:c>
      <x:c r="D391" s="2" t="str">
        <x:v>남성</x:v>
      </x:c>
      <x:c r="E391" s="7" t="n">
        <x:v>6000</x:v>
      </x:c>
      <x:c r="F391" s="7" t="n">
        <x:v>1</x:v>
      </x:c>
      <x:c r="G391" s="2" t="str">
        <x:v>미혼</x:v>
      </x:c>
      <x:c r="H391" s="7" t="n">
        <x:v>0</x:v>
      </x:c>
      <x:c r="I391" s="2" t="str">
        <x:f>IF(H391&lt;3,H391&amp;"명","3명 이상")</x:f>
        <x:v>0명</x:v>
      </x:c>
      <x:c r="J391" s="2" t="str">
        <x:v>비흡연</x:v>
      </x:c>
      <x:c r="K391" s="2" t="str">
        <x:v>없음</x:v>
      </x:c>
      <x:c r="L391" s="2" t="str">
        <x:v>암</x:v>
      </x:c>
      <x:c r="M391" s="2" t="str">
        <x:v>수호천사 암/건강보험</x:v>
      </x:c>
      <x:c r="N391" s="2" t="str">
        <x:f>VLOOKUP(M391,'분류기준'!$A$5:$B$8,2,FALSE)</x:f>
        <x:v>암/건강보험</x:v>
      </x:c>
      <x:c r="O391" s="2" t="str">
        <x:v>수술비 보장 특약</x:v>
      </x:c>
      <x:c r="P391" s="2" t="str">
        <x:f>IF(O391="선택 안함","선택 안함",IF(O391="특약 없음","특약 없음","가입"))</x:f>
        <x:v>가입</x:v>
      </x:c>
      <x:c r="Q391" s="2" t="str">
        <x:f>IF(P391="가입","가입","미가입")</x:f>
        <x:v>가입</x:v>
      </x:c>
    </x:row>
    <x:row r="392" ht="23" customHeight="1">
      <x:c r="A392" s="2" t="str">
        <x:v>C0269</x:v>
      </x:c>
      <x:c r="B392" s="7" t="n">
        <x:v>38</x:v>
      </x:c>
      <x:c r="C392" s="2" t="str">
        <x:f>INT(B392/10)*10&amp;"대"</x:f>
        <x:v>30대</x:v>
      </x:c>
      <x:c r="D392" s="2" t="str">
        <x:v>여성</x:v>
      </x:c>
      <x:c r="E392" s="7" t="n">
        <x:v>4000</x:v>
      </x:c>
      <x:c r="F392" s="7" t="n">
        <x:v>2</x:v>
      </x:c>
      <x:c r="G392" s="2" t="str">
        <x:v>기혼</x:v>
      </x:c>
      <x:c r="H392" s="7" t="n">
        <x:v>3</x:v>
      </x:c>
      <x:c r="I392" s="2" t="str">
        <x:f>IF(H392&lt;3,H392&amp;"명","3명 이상")</x:f>
        <x:v>3명 이상</x:v>
      </x:c>
      <x:c r="J392" s="2" t="str">
        <x:v>비흡연</x:v>
      </x:c>
      <x:c r="K392" s="2" t="str">
        <x:v>없음</x:v>
      </x:c>
      <x:c r="L392" s="2" t="str">
        <x:v>없음</x:v>
      </x:c>
      <x:c r="M392" s="2" t="str">
        <x:v>수호천사 암/건강보험</x:v>
      </x:c>
      <x:c r="N392" s="2" t="str">
        <x:f>VLOOKUP(M392,'분류기준'!$A$5:$B$8,2,FALSE)</x:f>
        <x:v>암/건강보험</x:v>
      </x:c>
      <x:c r="O392" s="2" t="str">
        <x:v>선택 안함</x:v>
      </x:c>
      <x:c r="P392" s="2" t="str">
        <x:f>IF(O392="선택 안함","선택 안함",IF(O392="특약 없음","특약 없음","가입"))</x:f>
        <x:v>선택 안함</x:v>
      </x:c>
      <x:c r="Q392" s="2" t="str">
        <x:f>IF(P392="가입","가입","미가입")</x:f>
        <x:v>미가입</x:v>
      </x:c>
    </x:row>
    <x:row r="393" ht="23" customHeight="1">
      <x:c r="A393" s="2" t="str">
        <x:v>C0324</x:v>
      </x:c>
      <x:c r="B393" s="7" t="n">
        <x:v>38</x:v>
      </x:c>
      <x:c r="C393" s="2" t="str">
        <x:f>INT(B393/10)*10&amp;"대"</x:f>
        <x:v>30대</x:v>
      </x:c>
      <x:c r="D393" s="2" t="str">
        <x:v>남성</x:v>
      </x:c>
      <x:c r="E393" s="7" t="n">
        <x:v>6000</x:v>
      </x:c>
      <x:c r="F393" s="7" t="n">
        <x:v>1</x:v>
      </x:c>
      <x:c r="G393" s="2" t="str">
        <x:v>기혼</x:v>
      </x:c>
      <x:c r="H393" s="7" t="n">
        <x:v>2</x:v>
      </x:c>
      <x:c r="I393" s="2" t="str">
        <x:f>IF(H393&lt;3,H393&amp;"명","3명 이상")</x:f>
        <x:v>2명</x:v>
      </x:c>
      <x:c r="J393" s="2" t="str">
        <x:v>비흡연</x:v>
      </x:c>
      <x:c r="K393" s="2" t="str">
        <x:v>없음</x:v>
      </x:c>
      <x:c r="L393" s="2" t="str">
        <x:v>없음</x:v>
      </x:c>
      <x:c r="M393" s="2" t="str">
        <x:v>수호천사 우리가족 종신보험</x:v>
      </x:c>
      <x:c r="N393" s="2" t="str">
        <x:f>VLOOKUP(M393,'분류기준'!$A$5:$B$8,2,FALSE)</x:f>
        <x:v>종신보험</x:v>
      </x:c>
      <x:c r="O393" s="2" t="str">
        <x:v>가족 수입 보장 특약</x:v>
      </x:c>
      <x:c r="P393" s="2" t="str">
        <x:f>IF(O393="선택 안함","선택 안함",IF(O393="특약 없음","특약 없음","가입"))</x:f>
        <x:v>가입</x:v>
      </x:c>
      <x:c r="Q393" s="2" t="str">
        <x:f>IF(P393="가입","가입","미가입")</x:f>
        <x:v>가입</x:v>
      </x:c>
    </x:row>
    <x:row r="394" ht="23" customHeight="1">
      <x:c r="A394" s="2" t="str">
        <x:v>C0420</x:v>
      </x:c>
      <x:c r="B394" s="7" t="n">
        <x:v>38</x:v>
      </x:c>
      <x:c r="C394" s="2" t="str">
        <x:f>INT(B394/10)*10&amp;"대"</x:f>
        <x:v>30대</x:v>
      </x:c>
      <x:c r="D394" s="2" t="str">
        <x:v>여성</x:v>
      </x:c>
      <x:c r="E394" s="7" t="n">
        <x:v>6000</x:v>
      </x:c>
      <x:c r="F394" s="7" t="n">
        <x:v>2</x:v>
      </x:c>
      <x:c r="G394" s="2" t="str">
        <x:v>미혼</x:v>
      </x:c>
      <x:c r="H394" s="7" t="n">
        <x:v>0</x:v>
      </x:c>
      <x:c r="I394" s="2" t="str">
        <x:f>IF(H394&lt;3,H394&amp;"명","3명 이상")</x:f>
        <x:v>0명</x:v>
      </x:c>
      <x:c r="J394" s="2" t="str">
        <x:v>비흡연</x:v>
      </x:c>
      <x:c r="K394" s="2" t="str">
        <x:v>당뇨</x:v>
      </x:c>
      <x:c r="L394" s="2" t="str">
        <x:v>암</x:v>
      </x:c>
      <x:c r="M394" s="2" t="str">
        <x:v>수호천사 간편심사(유병자)보험</x:v>
      </x:c>
      <x:c r="N394" s="2" t="str">
        <x:f>VLOOKUP(M394,'분류기준'!$A$5:$B$8,2,FALSE)</x:f>
        <x:v>간편심사보험</x:v>
      </x:c>
      <x:c r="O394" s="2" t="str">
        <x:v>선택 안함</x:v>
      </x:c>
      <x:c r="P394" s="2" t="str">
        <x:f>IF(O394="선택 안함","선택 안함",IF(O394="특약 없음","특약 없음","가입"))</x:f>
        <x:v>선택 안함</x:v>
      </x:c>
      <x:c r="Q394" s="2" t="str">
        <x:f>IF(P394="가입","가입","미가입")</x:f>
        <x:v>미가입</x:v>
      </x:c>
    </x:row>
    <x:row r="395" ht="23" customHeight="1">
      <x:c r="A395" s="2" t="str">
        <x:v>C0422</x:v>
      </x:c>
      <x:c r="B395" s="7" t="n">
        <x:v>38</x:v>
      </x:c>
      <x:c r="C395" s="2" t="str">
        <x:f>INT(B395/10)*10&amp;"대"</x:f>
        <x:v>30대</x:v>
      </x:c>
      <x:c r="D395" s="2" t="str">
        <x:v>여성</x:v>
      </x:c>
      <x:c r="E395" s="7" t="n">
        <x:v>9000</x:v>
      </x:c>
      <x:c r="F395" s="7" t="n">
        <x:v>2</x:v>
      </x:c>
      <x:c r="G395" s="2" t="str">
        <x:v>기혼</x:v>
      </x:c>
      <x:c r="H395" s="7" t="n">
        <x:v>0</x:v>
      </x:c>
      <x:c r="I395" s="2" t="str">
        <x:f>IF(H395&lt;3,H395&amp;"명","3명 이상")</x:f>
        <x:v>0명</x:v>
      </x:c>
      <x:c r="J395" s="2" t="str">
        <x:v>비흡연</x:v>
      </x:c>
      <x:c r="K395" s="2" t="str">
        <x:v>없음</x:v>
      </x:c>
      <x:c r="L395" s="2" t="str">
        <x:v>암</x:v>
      </x:c>
      <x:c r="M395" s="2" t="str">
        <x:v>수호천사 암/건강보험</x:v>
      </x:c>
      <x:c r="N395" s="2" t="str">
        <x:f>VLOOKUP(M395,'분류기준'!$A$5:$B$8,2,FALSE)</x:f>
        <x:v>암/건강보험</x:v>
      </x:c>
      <x:c r="O395" s="2" t="str">
        <x:v>표적항암약물허가치료 특약</x:v>
      </x:c>
      <x:c r="P395" s="2" t="str">
        <x:f>IF(O395="선택 안함","선택 안함",IF(O395="특약 없음","특약 없음","가입"))</x:f>
        <x:v>가입</x:v>
      </x:c>
      <x:c r="Q395" s="2" t="str">
        <x:f>IF(P395="가입","가입","미가입")</x:f>
        <x:v>가입</x:v>
      </x:c>
    </x:row>
    <x:row r="396" ht="23" customHeight="1">
      <x:c r="A396" s="2" t="str">
        <x:v>C0473</x:v>
      </x:c>
      <x:c r="B396" s="7" t="n">
        <x:v>38</x:v>
      </x:c>
      <x:c r="C396" s="2" t="str">
        <x:f>INT(B396/10)*10&amp;"대"</x:f>
        <x:v>30대</x:v>
      </x:c>
      <x:c r="D396" s="2" t="str">
        <x:v>여성</x:v>
      </x:c>
      <x:c r="E396" s="7" t="n">
        <x:v>4000</x:v>
      </x:c>
      <x:c r="F396" s="7" t="n">
        <x:v>1</x:v>
      </x:c>
      <x:c r="G396" s="2" t="str">
        <x:v>미혼</x:v>
      </x:c>
      <x:c r="H396" s="7" t="n">
        <x:v>0</x:v>
      </x:c>
      <x:c r="I396" s="2" t="str">
        <x:f>IF(H396&lt;3,H396&amp;"명","3명 이상")</x:f>
        <x:v>0명</x:v>
      </x:c>
      <x:c r="J396" s="2" t="str">
        <x:v>비흡연</x:v>
      </x:c>
      <x:c r="K396" s="2" t="str">
        <x:v>없음</x:v>
      </x:c>
      <x:c r="L396" s="2" t="str">
        <x:v>암</x:v>
      </x:c>
      <x:c r="M396" s="2" t="str">
        <x:v>수호천사 암/건강보험</x:v>
      </x:c>
      <x:c r="N396" s="2" t="str">
        <x:f>VLOOKUP(M396,'분류기준'!$A$5:$B$8,2,FALSE)</x:f>
        <x:v>암/건강보험</x:v>
      </x:c>
      <x:c r="O396" s="2" t="str">
        <x:v>수술비 보장 특약</x:v>
      </x:c>
      <x:c r="P396" s="2" t="str">
        <x:f>IF(O396="선택 안함","선택 안함",IF(O396="특약 없음","특약 없음","가입"))</x:f>
        <x:v>가입</x:v>
      </x:c>
      <x:c r="Q396" s="2" t="str">
        <x:f>IF(P396="가입","가입","미가입")</x:f>
        <x:v>가입</x:v>
      </x:c>
    </x:row>
    <x:row r="397" ht="23" customHeight="1">
      <x:c r="A397" s="2" t="str">
        <x:v>C0554</x:v>
      </x:c>
      <x:c r="B397" s="7" t="n">
        <x:v>38</x:v>
      </x:c>
      <x:c r="C397" s="2" t="str">
        <x:f>INT(B397/10)*10&amp;"대"</x:f>
        <x:v>30대</x:v>
      </x:c>
      <x:c r="D397" s="2" t="str">
        <x:v>남성</x:v>
      </x:c>
      <x:c r="E397" s="7" t="n">
        <x:v>12000</x:v>
      </x:c>
      <x:c r="F397" s="7" t="n">
        <x:v>1</x:v>
      </x:c>
      <x:c r="G397" s="2" t="str">
        <x:v>미혼</x:v>
      </x:c>
      <x:c r="H397" s="7" t="n">
        <x:v>0</x:v>
      </x:c>
      <x:c r="I397" s="2" t="str">
        <x:f>IF(H397&lt;3,H397&amp;"명","3명 이상")</x:f>
        <x:v>0명</x:v>
      </x:c>
      <x:c r="J397" s="2" t="str">
        <x:v>비흡연</x:v>
      </x:c>
      <x:c r="K397" s="2" t="str">
        <x:v>없음</x:v>
      </x:c>
      <x:c r="L397" s="2" t="str">
        <x:v>없음</x:v>
      </x:c>
      <x:c r="M397" s="2" t="str">
        <x:v>수호천사 암/건강보험</x:v>
      </x:c>
      <x:c r="N397" s="2" t="str">
        <x:f>VLOOKUP(M397,'분류기준'!$A$5:$B$8,2,FALSE)</x:f>
        <x:v>암/건강보험</x:v>
      </x:c>
      <x:c r="O397" s="2" t="str">
        <x:v>표적항암약물허가치료 특약</x:v>
      </x:c>
      <x:c r="P397" s="2" t="str">
        <x:f>IF(O397="선택 안함","선택 안함",IF(O397="특약 없음","특약 없음","가입"))</x:f>
        <x:v>가입</x:v>
      </x:c>
      <x:c r="Q397" s="2" t="str">
        <x:f>IF(P397="가입","가입","미가입")</x:f>
        <x:v>가입</x:v>
      </x:c>
    </x:row>
    <x:row r="398" ht="23" customHeight="1">
      <x:c r="A398" s="2" t="str">
        <x:v>C0558</x:v>
      </x:c>
      <x:c r="B398" s="7" t="n">
        <x:v>38</x:v>
      </x:c>
      <x:c r="C398" s="2" t="str">
        <x:f>INT(B398/10)*10&amp;"대"</x:f>
        <x:v>30대</x:v>
      </x:c>
      <x:c r="D398" s="2" t="str">
        <x:v>남성</x:v>
      </x:c>
      <x:c r="E398" s="7" t="n">
        <x:v>3000</x:v>
      </x:c>
      <x:c r="F398" s="7" t="n">
        <x:v>1</x:v>
      </x:c>
      <x:c r="G398" s="2" t="str">
        <x:v>기혼</x:v>
      </x:c>
      <x:c r="H398" s="7" t="n">
        <x:v>1</x:v>
      </x:c>
      <x:c r="I398" s="2" t="str">
        <x:f>IF(H398&lt;3,H398&amp;"명","3명 이상")</x:f>
        <x:v>1명</x:v>
      </x:c>
      <x:c r="J398" s="2" t="str">
        <x:v>비흡연</x:v>
      </x:c>
      <x:c r="K398" s="2" t="str">
        <x:v>없음</x:v>
      </x:c>
      <x:c r="L398" s="2" t="str">
        <x:v>없음</x:v>
      </x:c>
      <x:c r="M398" s="2" t="str">
        <x:v>수호천사 우리가족 종신보험</x:v>
      </x:c>
      <x:c r="N398" s="2" t="str">
        <x:f>VLOOKUP(M398,'분류기준'!$A$5:$B$8,2,FALSE)</x:f>
        <x:v>종신보험</x:v>
      </x:c>
      <x:c r="O398" s="2" t="str">
        <x:v>가족 수입 보장 특약</x:v>
      </x:c>
      <x:c r="P398" s="2" t="str">
        <x:f>IF(O398="선택 안함","선택 안함",IF(O398="특약 없음","특약 없음","가입"))</x:f>
        <x:v>가입</x:v>
      </x:c>
      <x:c r="Q398" s="2" t="str">
        <x:f>IF(P398="가입","가입","미가입")</x:f>
        <x:v>가입</x:v>
      </x:c>
    </x:row>
    <x:row r="399" ht="23" customHeight="1">
      <x:c r="A399" s="2" t="str">
        <x:v>C0565</x:v>
      </x:c>
      <x:c r="B399" s="7" t="n">
        <x:v>38</x:v>
      </x:c>
      <x:c r="C399" s="2" t="str">
        <x:f>INT(B399/10)*10&amp;"대"</x:f>
        <x:v>30대</x:v>
      </x:c>
      <x:c r="D399" s="2" t="str">
        <x:v>남성</x:v>
      </x:c>
      <x:c r="E399" s="7" t="n">
        <x:v>5000</x:v>
      </x:c>
      <x:c r="F399" s="7" t="n">
        <x:v>1</x:v>
      </x:c>
      <x:c r="G399" s="2" t="str">
        <x:v>기혼</x:v>
      </x:c>
      <x:c r="H399" s="7" t="n">
        <x:v>0</x:v>
      </x:c>
      <x:c r="I399" s="2" t="str">
        <x:f>IF(H399&lt;3,H399&amp;"명","3명 이상")</x:f>
        <x:v>0명</x:v>
      </x:c>
      <x:c r="J399" s="2" t="str">
        <x:v>흡연</x:v>
      </x:c>
      <x:c r="K399" s="2" t="str">
        <x:v>없음</x:v>
      </x:c>
      <x:c r="L399" s="2" t="str">
        <x:v>없음</x:v>
      </x:c>
      <x:c r="M399" s="2" t="str">
        <x:v>수호천사 암/건강보험</x:v>
      </x:c>
      <x:c r="N399" s="2" t="str">
        <x:f>VLOOKUP(M399,'분류기준'!$A$5:$B$8,2,FALSE)</x:f>
        <x:v>암/건강보험</x:v>
      </x:c>
      <x:c r="O399" s="2" t="str">
        <x:v>수술비 보장 특약</x:v>
      </x:c>
      <x:c r="P399" s="2" t="str">
        <x:f>IF(O399="선택 안함","선택 안함",IF(O399="특약 없음","특약 없음","가입"))</x:f>
        <x:v>가입</x:v>
      </x:c>
      <x:c r="Q399" s="2" t="str">
        <x:f>IF(P399="가입","가입","미가입")</x:f>
        <x:v>가입</x:v>
      </x:c>
    </x:row>
    <x:row r="400" ht="23" customHeight="1">
      <x:c r="A400" s="2" t="str">
        <x:v>C0606</x:v>
      </x:c>
      <x:c r="B400" s="7" t="n">
        <x:v>38</x:v>
      </x:c>
      <x:c r="C400" s="2" t="str">
        <x:f>INT(B400/10)*10&amp;"대"</x:f>
        <x:v>30대</x:v>
      </x:c>
      <x:c r="D400" s="2" t="str">
        <x:v>남성</x:v>
      </x:c>
      <x:c r="E400" s="7" t="n">
        <x:v>3000</x:v>
      </x:c>
      <x:c r="F400" s="7" t="n">
        <x:v>1</x:v>
      </x:c>
      <x:c r="G400" s="2" t="str">
        <x:v>미혼</x:v>
      </x:c>
      <x:c r="H400" s="7" t="n">
        <x:v>0</x:v>
      </x:c>
      <x:c r="I400" s="2" t="str">
        <x:f>IF(H400&lt;3,H400&amp;"명","3명 이상")</x:f>
        <x:v>0명</x:v>
      </x:c>
      <x:c r="J400" s="2" t="str">
        <x:v>흡연</x:v>
      </x:c>
      <x:c r="K400" s="2" t="str">
        <x:v>고혈압</x:v>
      </x:c>
      <x:c r="L400" s="2" t="str">
        <x:v>없음</x:v>
      </x:c>
      <x:c r="M400" s="2" t="str">
        <x:v>수호천사 간편심사(유병자)보험</x:v>
      </x:c>
      <x:c r="N400" s="2" t="str">
        <x:f>VLOOKUP(M400,'분류기준'!$A$5:$B$8,2,FALSE)</x:f>
        <x:v>간편심사보험</x:v>
      </x:c>
      <x:c r="O400" s="2" t="str">
        <x:v>중증질환 산정특례 보장 특약</x:v>
      </x:c>
      <x:c r="P400" s="2" t="str">
        <x:f>IF(O400="선택 안함","선택 안함",IF(O400="특약 없음","특약 없음","가입"))</x:f>
        <x:v>가입</x:v>
      </x:c>
      <x:c r="Q400" s="2" t="str">
        <x:f>IF(P400="가입","가입","미가입")</x:f>
        <x:v>가입</x:v>
      </x:c>
    </x:row>
    <x:row r="401" ht="23" customHeight="1">
      <x:c r="A401" s="2" t="str">
        <x:v>C0619</x:v>
      </x:c>
      <x:c r="B401" s="7" t="n">
        <x:v>38</x:v>
      </x:c>
      <x:c r="C401" s="2" t="str">
        <x:f>INT(B401/10)*10&amp;"대"</x:f>
        <x:v>30대</x:v>
      </x:c>
      <x:c r="D401" s="2" t="str">
        <x:v>남성</x:v>
      </x:c>
      <x:c r="E401" s="7" t="n">
        <x:v>4000</x:v>
      </x:c>
      <x:c r="F401" s="7" t="n">
        <x:v>1</x:v>
      </x:c>
      <x:c r="G401" s="2" t="str">
        <x:v>기혼</x:v>
      </x:c>
      <x:c r="H401" s="7" t="n">
        <x:v>1</x:v>
      </x:c>
      <x:c r="I401" s="2" t="str">
        <x:f>IF(H401&lt;3,H401&amp;"명","3명 이상")</x:f>
        <x:v>1명</x:v>
      </x:c>
      <x:c r="J401" s="2" t="str">
        <x:v>비흡연</x:v>
      </x:c>
      <x:c r="K401" s="2" t="str">
        <x:v>없음</x:v>
      </x:c>
      <x:c r="L401" s="2" t="str">
        <x:v>없음</x:v>
      </x:c>
      <x:c r="M401" s="2" t="str">
        <x:v>수호천사 행복 연금보험</x:v>
      </x:c>
      <x:c r="N401" s="2" t="str">
        <x:f>VLOOKUP(M401,'분류기준'!$A$5:$B$8,2,FALSE)</x:f>
        <x:v>연금보험</x:v>
      </x:c>
      <x:c r="O401" s="2" t="str">
        <x:v>특약 없음</x:v>
      </x:c>
      <x:c r="P401" s="2" t="str">
        <x:f>IF(O401="선택 안함","선택 안함",IF(O401="특약 없음","특약 없음","가입"))</x:f>
        <x:v>특약 없음</x:v>
      </x:c>
      <x:c r="Q401" s="2" t="str">
        <x:f>IF(P401="가입","가입","미가입")</x:f>
        <x:v>미가입</x:v>
      </x:c>
    </x:row>
    <x:row r="402" ht="23" customHeight="1">
      <x:c r="A402" s="2" t="str">
        <x:v>C0625</x:v>
      </x:c>
      <x:c r="B402" s="7" t="n">
        <x:v>38</x:v>
      </x:c>
      <x:c r="C402" s="2" t="str">
        <x:f>INT(B402/10)*10&amp;"대"</x:f>
        <x:v>30대</x:v>
      </x:c>
      <x:c r="D402" s="2" t="str">
        <x:v>여성</x:v>
      </x:c>
      <x:c r="E402" s="7" t="n">
        <x:v>7500</x:v>
      </x:c>
      <x:c r="F402" s="7" t="n">
        <x:v>1</x:v>
      </x:c>
      <x:c r="G402" s="2" t="str">
        <x:v>기혼</x:v>
      </x:c>
      <x:c r="H402" s="7" t="n">
        <x:v>3</x:v>
      </x:c>
      <x:c r="I402" s="2" t="str">
        <x:f>IF(H402&lt;3,H402&amp;"명","3명 이상")</x:f>
        <x:v>3명 이상</x:v>
      </x:c>
      <x:c r="J402" s="2" t="str">
        <x:v>비흡연</x:v>
      </x:c>
      <x:c r="K402" s="2" t="str">
        <x:v>없음</x:v>
      </x:c>
      <x:c r="L402" s="2" t="str">
        <x:v>없음</x:v>
      </x:c>
      <x:c r="M402" s="2" t="str">
        <x:v>수호천사 우리가족 종신보험</x:v>
      </x:c>
      <x:c r="N402" s="2" t="str">
        <x:f>VLOOKUP(M402,'분류기준'!$A$5:$B$8,2,FALSE)</x:f>
        <x:v>종신보험</x:v>
      </x:c>
      <x:c r="O402" s="2" t="str">
        <x:v>가족 수입 보장 특약</x:v>
      </x:c>
      <x:c r="P402" s="2" t="str">
        <x:f>IF(O402="선택 안함","선택 안함",IF(O402="특약 없음","특약 없음","가입"))</x:f>
        <x:v>가입</x:v>
      </x:c>
      <x:c r="Q402" s="2" t="str">
        <x:f>IF(P402="가입","가입","미가입")</x:f>
        <x:v>가입</x:v>
      </x:c>
    </x:row>
    <x:row r="403" ht="23" customHeight="1">
      <x:c r="A403" s="2" t="str">
        <x:v>C0655</x:v>
      </x:c>
      <x:c r="B403" s="7" t="n">
        <x:v>38</x:v>
      </x:c>
      <x:c r="C403" s="2" t="str">
        <x:f>INT(B403/10)*10&amp;"대"</x:f>
        <x:v>30대</x:v>
      </x:c>
      <x:c r="D403" s="2" t="str">
        <x:v>여성</x:v>
      </x:c>
      <x:c r="E403" s="7" t="n">
        <x:v>5000</x:v>
      </x:c>
      <x:c r="F403" s="7" t="n">
        <x:v>2</x:v>
      </x:c>
      <x:c r="G403" s="2" t="str">
        <x:v>기혼</x:v>
      </x:c>
      <x:c r="H403" s="7" t="n">
        <x:v>3</x:v>
      </x:c>
      <x:c r="I403" s="2" t="str">
        <x:f>IF(H403&lt;3,H403&amp;"명","3명 이상")</x:f>
        <x:v>3명 이상</x:v>
      </x:c>
      <x:c r="J403" s="2" t="str">
        <x:v>비흡연</x:v>
      </x:c>
      <x:c r="K403" s="2" t="str">
        <x:v>없음</x:v>
      </x:c>
      <x:c r="L403" s="2" t="str">
        <x:v>없음</x:v>
      </x:c>
      <x:c r="M403" s="2" t="str">
        <x:v>수호천사 우리가족 종신보험</x:v>
      </x:c>
      <x:c r="N403" s="2" t="str">
        <x:f>VLOOKUP(M403,'분류기준'!$A$5:$B$8,2,FALSE)</x:f>
        <x:v>종신보험</x:v>
      </x:c>
      <x:c r="O403" s="2" t="str">
        <x:v>가족 수입 보장 특약</x:v>
      </x:c>
      <x:c r="P403" s="2" t="str">
        <x:f>IF(O403="선택 안함","선택 안함",IF(O403="특약 없음","특약 없음","가입"))</x:f>
        <x:v>가입</x:v>
      </x:c>
      <x:c r="Q403" s="2" t="str">
        <x:f>IF(P403="가입","가입","미가입")</x:f>
        <x:v>가입</x:v>
      </x:c>
    </x:row>
    <x:row r="404" ht="23" customHeight="1">
      <x:c r="A404" s="2" t="str">
        <x:v>C0736</x:v>
      </x:c>
      <x:c r="B404" s="7" t="n">
        <x:v>38</x:v>
      </x:c>
      <x:c r="C404" s="2" t="str">
        <x:f>INT(B404/10)*10&amp;"대"</x:f>
        <x:v>30대</x:v>
      </x:c>
      <x:c r="D404" s="2" t="str">
        <x:v>여성</x:v>
      </x:c>
      <x:c r="E404" s="7" t="n">
        <x:v>4000</x:v>
      </x:c>
      <x:c r="F404" s="7" t="n">
        <x:v>3</x:v>
      </x:c>
      <x:c r="G404" s="2" t="str">
        <x:v>기혼</x:v>
      </x:c>
      <x:c r="H404" s="7" t="n">
        <x:v>1</x:v>
      </x:c>
      <x:c r="I404" s="2" t="str">
        <x:f>IF(H404&lt;3,H404&amp;"명","3명 이상")</x:f>
        <x:v>1명</x:v>
      </x:c>
      <x:c r="J404" s="2" t="str">
        <x:v>비흡연</x:v>
      </x:c>
      <x:c r="K404" s="2" t="str">
        <x:v>없음</x:v>
      </x:c>
      <x:c r="L404" s="2" t="str">
        <x:v>없음</x:v>
      </x:c>
      <x:c r="M404" s="2" t="str">
        <x:v>수호천사 암/건강보험</x:v>
      </x:c>
      <x:c r="N404" s="2" t="str">
        <x:f>VLOOKUP(M404,'분류기준'!$A$5:$B$8,2,FALSE)</x:f>
        <x:v>암/건강보험</x:v>
      </x:c>
      <x:c r="O404" s="2" t="str">
        <x:v>수술비 보장 특약</x:v>
      </x:c>
      <x:c r="P404" s="2" t="str">
        <x:f>IF(O404="선택 안함","선택 안함",IF(O404="특약 없음","특약 없음","가입"))</x:f>
        <x:v>가입</x:v>
      </x:c>
      <x:c r="Q404" s="2" t="str">
        <x:f>IF(P404="가입","가입","미가입")</x:f>
        <x:v>가입</x:v>
      </x:c>
    </x:row>
    <x:row r="405" ht="23" customHeight="1">
      <x:c r="A405" s="2" t="str">
        <x:v>C0821</x:v>
      </x:c>
      <x:c r="B405" s="7" t="n">
        <x:v>38</x:v>
      </x:c>
      <x:c r="C405" s="2" t="str">
        <x:f>INT(B405/10)*10&amp;"대"</x:f>
        <x:v>30대</x:v>
      </x:c>
      <x:c r="D405" s="2" t="str">
        <x:v>여성</x:v>
      </x:c>
      <x:c r="E405" s="7" t="n">
        <x:v>3000</x:v>
      </x:c>
      <x:c r="F405" s="7" t="n">
        <x:v>1</x:v>
      </x:c>
      <x:c r="G405" s="2" t="str">
        <x:v>기혼</x:v>
      </x:c>
      <x:c r="H405" s="7" t="n">
        <x:v>1</x:v>
      </x:c>
      <x:c r="I405" s="2" t="str">
        <x:f>IF(H405&lt;3,H405&amp;"명","3명 이상")</x:f>
        <x:v>1명</x:v>
      </x:c>
      <x:c r="J405" s="2" t="str">
        <x:v>비흡연</x:v>
      </x:c>
      <x:c r="K405" s="2" t="str">
        <x:v>고혈압</x:v>
      </x:c>
      <x:c r="L405" s="2" t="str">
        <x:v>없음</x:v>
      </x:c>
      <x:c r="M405" s="2" t="str">
        <x:v>수호천사 간편심사(유병자)보험</x:v>
      </x:c>
      <x:c r="N405" s="2" t="str">
        <x:f>VLOOKUP(M405,'분류기준'!$A$5:$B$8,2,FALSE)</x:f>
        <x:v>간편심사보험</x:v>
      </x:c>
      <x:c r="O405" s="2" t="str">
        <x:v>중증질환 산정특례 보장 특약</x:v>
      </x:c>
      <x:c r="P405" s="2" t="str">
        <x:f>IF(O405="선택 안함","선택 안함",IF(O405="특약 없음","특약 없음","가입"))</x:f>
        <x:v>가입</x:v>
      </x:c>
      <x:c r="Q405" s="2" t="str">
        <x:f>IF(P405="가입","가입","미가입")</x:f>
        <x:v>가입</x:v>
      </x:c>
    </x:row>
    <x:row r="406" ht="23" customHeight="1">
      <x:c r="A406" s="2" t="str">
        <x:v>C0901</x:v>
      </x:c>
      <x:c r="B406" s="7" t="n">
        <x:v>38</x:v>
      </x:c>
      <x:c r="C406" s="2" t="str">
        <x:f>INT(B406/10)*10&amp;"대"</x:f>
        <x:v>30대</x:v>
      </x:c>
      <x:c r="D406" s="2" t="str">
        <x:v>여성</x:v>
      </x:c>
      <x:c r="E406" s="7" t="n">
        <x:v>4000</x:v>
      </x:c>
      <x:c r="F406" s="7" t="n">
        <x:v>1</x:v>
      </x:c>
      <x:c r="G406" s="2" t="str">
        <x:v>기혼</x:v>
      </x:c>
      <x:c r="H406" s="7" t="n">
        <x:v>2</x:v>
      </x:c>
      <x:c r="I406" s="2" t="str">
        <x:f>IF(H406&lt;3,H406&amp;"명","3명 이상")</x:f>
        <x:v>2명</x:v>
      </x:c>
      <x:c r="J406" s="2" t="str">
        <x:v>비흡연</x:v>
      </x:c>
      <x:c r="K406" s="2" t="str">
        <x:v>고혈압</x:v>
      </x:c>
      <x:c r="L406" s="2" t="str">
        <x:v>심혈관</x:v>
      </x:c>
      <x:c r="M406" s="2" t="str">
        <x:v>수호천사 우리가족 종신보험</x:v>
      </x:c>
      <x:c r="N406" s="2" t="str">
        <x:f>VLOOKUP(M406,'분류기준'!$A$5:$B$8,2,FALSE)</x:f>
        <x:v>종신보험</x:v>
      </x:c>
      <x:c r="O406" s="2" t="str">
        <x:v>선택 안함</x:v>
      </x:c>
      <x:c r="P406" s="2" t="str">
        <x:f>IF(O406="선택 안함","선택 안함",IF(O406="특약 없음","특약 없음","가입"))</x:f>
        <x:v>선택 안함</x:v>
      </x:c>
      <x:c r="Q406" s="2" t="str">
        <x:f>IF(P406="가입","가입","미가입")</x:f>
        <x:v>미가입</x:v>
      </x:c>
    </x:row>
    <x:row r="407" ht="23" customHeight="1">
      <x:c r="A407" s="2" t="str">
        <x:v>C0951</x:v>
      </x:c>
      <x:c r="B407" s="7" t="n">
        <x:v>38</x:v>
      </x:c>
      <x:c r="C407" s="2" t="str">
        <x:f>INT(B407/10)*10&amp;"대"</x:f>
        <x:v>30대</x:v>
      </x:c>
      <x:c r="D407" s="2" t="str">
        <x:v>남성</x:v>
      </x:c>
      <x:c r="E407" s="7" t="n">
        <x:v>5000</x:v>
      </x:c>
      <x:c r="F407" s="7" t="n">
        <x:v>3</x:v>
      </x:c>
      <x:c r="G407" s="2" t="str">
        <x:v>기혼</x:v>
      </x:c>
      <x:c r="H407" s="7" t="n">
        <x:v>3</x:v>
      </x:c>
      <x:c r="I407" s="2" t="str">
        <x:f>IF(H407&lt;3,H407&amp;"명","3명 이상")</x:f>
        <x:v>3명 이상</x:v>
      </x:c>
      <x:c r="J407" s="2" t="str">
        <x:v>비흡연</x:v>
      </x:c>
      <x:c r="K407" s="2" t="str">
        <x:v>없음</x:v>
      </x:c>
      <x:c r="L407" s="2" t="str">
        <x:v>심혈관</x:v>
      </x:c>
      <x:c r="M407" s="2" t="str">
        <x:v>수호천사 암/건강보험</x:v>
      </x:c>
      <x:c r="N407" s="2" t="str">
        <x:f>VLOOKUP(M407,'분류기준'!$A$5:$B$8,2,FALSE)</x:f>
        <x:v>암/건강보험</x:v>
      </x:c>
      <x:c r="O407" s="2" t="str">
        <x:v>수술비 보장 특약</x:v>
      </x:c>
      <x:c r="P407" s="2" t="str">
        <x:f>IF(O407="선택 안함","선택 안함",IF(O407="특약 없음","특약 없음","가입"))</x:f>
        <x:v>가입</x:v>
      </x:c>
      <x:c r="Q407" s="2" t="str">
        <x:f>IF(P407="가입","가입","미가입")</x:f>
        <x:v>가입</x:v>
      </x:c>
    </x:row>
    <x:row r="408" ht="23" customHeight="1">
      <x:c r="A408" s="2" t="str">
        <x:v>C0049</x:v>
      </x:c>
      <x:c r="B408" s="7" t="n">
        <x:v>39</x:v>
      </x:c>
      <x:c r="C408" s="2" t="str">
        <x:f>INT(B408/10)*10&amp;"대"</x:f>
        <x:v>30대</x:v>
      </x:c>
      <x:c r="D408" s="2" t="str">
        <x:v>남성</x:v>
      </x:c>
      <x:c r="E408" s="7" t="n">
        <x:v>9000</x:v>
      </x:c>
      <x:c r="F408" s="7" t="n">
        <x:v>3</x:v>
      </x:c>
      <x:c r="G408" s="2" t="str">
        <x:v>기혼</x:v>
      </x:c>
      <x:c r="H408" s="7" t="n">
        <x:v>2</x:v>
      </x:c>
      <x:c r="I408" s="2" t="str">
        <x:f>IF(H408&lt;3,H408&amp;"명","3명 이상")</x:f>
        <x:v>2명</x:v>
      </x:c>
      <x:c r="J408" s="2" t="str">
        <x:v>흡연</x:v>
      </x:c>
      <x:c r="K408" s="2" t="str">
        <x:v>없음</x:v>
      </x:c>
      <x:c r="L408" s="2" t="str">
        <x:v>암</x:v>
      </x:c>
      <x:c r="M408" s="2" t="str">
        <x:v>수호천사 우리가족 종신보험</x:v>
      </x:c>
      <x:c r="N408" s="2" t="str">
        <x:f>VLOOKUP(M408,'분류기준'!$A$5:$B$8,2,FALSE)</x:f>
        <x:v>종신보험</x:v>
      </x:c>
      <x:c r="O408" s="2" t="str">
        <x:v>가족 수입 보장 특약</x:v>
      </x:c>
      <x:c r="P408" s="2" t="str">
        <x:f>IF(O408="선택 안함","선택 안함",IF(O408="특약 없음","특약 없음","가입"))</x:f>
        <x:v>가입</x:v>
      </x:c>
      <x:c r="Q408" s="2" t="str">
        <x:f>IF(P408="가입","가입","미가입")</x:f>
        <x:v>가입</x:v>
      </x:c>
    </x:row>
    <x:row r="409" ht="23" customHeight="1">
      <x:c r="A409" s="2" t="str">
        <x:v>C0168</x:v>
      </x:c>
      <x:c r="B409" s="7" t="n">
        <x:v>39</x:v>
      </x:c>
      <x:c r="C409" s="2" t="str">
        <x:f>INT(B409/10)*10&amp;"대"</x:f>
        <x:v>30대</x:v>
      </x:c>
      <x:c r="D409" s="2" t="str">
        <x:v>여성</x:v>
      </x:c>
      <x:c r="E409" s="7" t="n">
        <x:v>3000</x:v>
      </x:c>
      <x:c r="F409" s="7" t="n">
        <x:v>2</x:v>
      </x:c>
      <x:c r="G409" s="2" t="str">
        <x:v>미혼</x:v>
      </x:c>
      <x:c r="H409" s="7" t="n">
        <x:v>0</x:v>
      </x:c>
      <x:c r="I409" s="2" t="str">
        <x:f>IF(H409&lt;3,H409&amp;"명","3명 이상")</x:f>
        <x:v>0명</x:v>
      </x:c>
      <x:c r="J409" s="2" t="str">
        <x:v>흡연</x:v>
      </x:c>
      <x:c r="K409" s="2" t="str">
        <x:v>없음</x:v>
      </x:c>
      <x:c r="L409" s="2" t="str">
        <x:v>없음</x:v>
      </x:c>
      <x:c r="M409" s="2" t="str">
        <x:v>수호천사 간편심사(유병자)보험</x:v>
      </x:c>
      <x:c r="N409" s="2" t="str">
        <x:f>VLOOKUP(M409,'분류기준'!$A$5:$B$8,2,FALSE)</x:f>
        <x:v>간편심사보험</x:v>
      </x:c>
      <x:c r="O409" s="2" t="str">
        <x:v>중증질환 산정특례 보장 특약</x:v>
      </x:c>
      <x:c r="P409" s="2" t="str">
        <x:f>IF(O409="선택 안함","선택 안함",IF(O409="특약 없음","특약 없음","가입"))</x:f>
        <x:v>가입</x:v>
      </x:c>
      <x:c r="Q409" s="2" t="str">
        <x:f>IF(P409="가입","가입","미가입")</x:f>
        <x:v>가입</x:v>
      </x:c>
    </x:row>
    <x:row r="410" ht="23" customHeight="1">
      <x:c r="A410" s="2" t="str">
        <x:v>C0233</x:v>
      </x:c>
      <x:c r="B410" s="7" t="n">
        <x:v>39</x:v>
      </x:c>
      <x:c r="C410" s="2" t="str">
        <x:f>INT(B410/10)*10&amp;"대"</x:f>
        <x:v>30대</x:v>
      </x:c>
      <x:c r="D410" s="2" t="str">
        <x:v>여성</x:v>
      </x:c>
      <x:c r="E410" s="7" t="n">
        <x:v>4000</x:v>
      </x:c>
      <x:c r="F410" s="7" t="n">
        <x:v>1</x:v>
      </x:c>
      <x:c r="G410" s="2" t="str">
        <x:v>기혼</x:v>
      </x:c>
      <x:c r="H410" s="7" t="n">
        <x:v>2</x:v>
      </x:c>
      <x:c r="I410" s="2" t="str">
        <x:f>IF(H410&lt;3,H410&amp;"명","3명 이상")</x:f>
        <x:v>2명</x:v>
      </x:c>
      <x:c r="J410" s="2" t="str">
        <x:v>비흡연</x:v>
      </x:c>
      <x:c r="K410" s="2" t="str">
        <x:v>고혈압</x:v>
      </x:c>
      <x:c r="L410" s="2" t="str">
        <x:v>없음</x:v>
      </x:c>
      <x:c r="M410" s="2" t="str">
        <x:v>수호천사 간편심사(유병자)보험</x:v>
      </x:c>
      <x:c r="N410" s="2" t="str">
        <x:f>VLOOKUP(M410,'분류기준'!$A$5:$B$8,2,FALSE)</x:f>
        <x:v>간편심사보험</x:v>
      </x:c>
      <x:c r="O410" s="2" t="str">
        <x:v>중증질환 산정특례 보장 특약</x:v>
      </x:c>
      <x:c r="P410" s="2" t="str">
        <x:f>IF(O410="선택 안함","선택 안함",IF(O410="특약 없음","특약 없음","가입"))</x:f>
        <x:v>가입</x:v>
      </x:c>
      <x:c r="Q410" s="2" t="str">
        <x:f>IF(P410="가입","가입","미가입")</x:f>
        <x:v>가입</x:v>
      </x:c>
    </x:row>
    <x:row r="411" ht="23" customHeight="1">
      <x:c r="A411" s="2" t="str">
        <x:v>C0239</x:v>
      </x:c>
      <x:c r="B411" s="7" t="n">
        <x:v>39</x:v>
      </x:c>
      <x:c r="C411" s="2" t="str">
        <x:f>INT(B411/10)*10&amp;"대"</x:f>
        <x:v>30대</x:v>
      </x:c>
      <x:c r="D411" s="2" t="str">
        <x:v>여성</x:v>
      </x:c>
      <x:c r="E411" s="7" t="n">
        <x:v>12000</x:v>
      </x:c>
      <x:c r="F411" s="7" t="n">
        <x:v>1</x:v>
      </x:c>
      <x:c r="G411" s="2" t="str">
        <x:v>기혼</x:v>
      </x:c>
      <x:c r="H411" s="7" t="n">
        <x:v>1</x:v>
      </x:c>
      <x:c r="I411" s="2" t="str">
        <x:f>IF(H411&lt;3,H411&amp;"명","3명 이상")</x:f>
        <x:v>1명</x:v>
      </x:c>
      <x:c r="J411" s="2" t="str">
        <x:v>비흡연</x:v>
      </x:c>
      <x:c r="K411" s="2" t="str">
        <x:v>없음</x:v>
      </x:c>
      <x:c r="L411" s="2" t="str">
        <x:v>심혈관</x:v>
      </x:c>
      <x:c r="M411" s="2" t="str">
        <x:v>수호천사 암/건강보험</x:v>
      </x:c>
      <x:c r="N411" s="2" t="str">
        <x:f>VLOOKUP(M411,'분류기준'!$A$5:$B$8,2,FALSE)</x:f>
        <x:v>암/건강보험</x:v>
      </x:c>
      <x:c r="O411" s="2" t="str">
        <x:v>표적항암약물허가치료 특약</x:v>
      </x:c>
      <x:c r="P411" s="2" t="str">
        <x:f>IF(O411="선택 안함","선택 안함",IF(O411="특약 없음","특약 없음","가입"))</x:f>
        <x:v>가입</x:v>
      </x:c>
      <x:c r="Q411" s="2" t="str">
        <x:f>IF(P411="가입","가입","미가입")</x:f>
        <x:v>가입</x:v>
      </x:c>
    </x:row>
    <x:row r="412" ht="23" customHeight="1">
      <x:c r="A412" s="2" t="str">
        <x:v>C0272</x:v>
      </x:c>
      <x:c r="B412" s="7" t="n">
        <x:v>39</x:v>
      </x:c>
      <x:c r="C412" s="2" t="str">
        <x:f>INT(B412/10)*10&amp;"대"</x:f>
        <x:v>30대</x:v>
      </x:c>
      <x:c r="D412" s="2" t="str">
        <x:v>남성</x:v>
      </x:c>
      <x:c r="E412" s="7" t="n">
        <x:v>9000</x:v>
      </x:c>
      <x:c r="F412" s="7" t="n">
        <x:v>2</x:v>
      </x:c>
      <x:c r="G412" s="2" t="str">
        <x:v>기혼</x:v>
      </x:c>
      <x:c r="H412" s="7" t="n">
        <x:v>0</x:v>
      </x:c>
      <x:c r="I412" s="2" t="str">
        <x:f>IF(H412&lt;3,H412&amp;"명","3명 이상")</x:f>
        <x:v>0명</x:v>
      </x:c>
      <x:c r="J412" s="2" t="str">
        <x:v>비흡연</x:v>
      </x:c>
      <x:c r="K412" s="2" t="str">
        <x:v>없음</x:v>
      </x:c>
      <x:c r="L412" s="2" t="str">
        <x:v>없음</x:v>
      </x:c>
      <x:c r="M412" s="2" t="str">
        <x:v>수호천사 암/건강보험</x:v>
      </x:c>
      <x:c r="N412" s="2" t="str">
        <x:f>VLOOKUP(M412,'분류기준'!$A$5:$B$8,2,FALSE)</x:f>
        <x:v>암/건강보험</x:v>
      </x:c>
      <x:c r="O412" s="2" t="str">
        <x:v>표적항암약물허가치료 특약</x:v>
      </x:c>
      <x:c r="P412" s="2" t="str">
        <x:f>IF(O412="선택 안함","선택 안함",IF(O412="특약 없음","특약 없음","가입"))</x:f>
        <x:v>가입</x:v>
      </x:c>
      <x:c r="Q412" s="2" t="str">
        <x:f>IF(P412="가입","가입","미가입")</x:f>
        <x:v>가입</x:v>
      </x:c>
    </x:row>
    <x:row r="413" ht="23" customHeight="1">
      <x:c r="A413" s="2" t="str">
        <x:v>C0281</x:v>
      </x:c>
      <x:c r="B413" s="7" t="n">
        <x:v>39</x:v>
      </x:c>
      <x:c r="C413" s="2" t="str">
        <x:f>INT(B413/10)*10&amp;"대"</x:f>
        <x:v>30대</x:v>
      </x:c>
      <x:c r="D413" s="2" t="str">
        <x:v>여성</x:v>
      </x:c>
      <x:c r="E413" s="7" t="n">
        <x:v>12000</x:v>
      </x:c>
      <x:c r="F413" s="7" t="n">
        <x:v>3</x:v>
      </x:c>
      <x:c r="G413" s="2" t="str">
        <x:v>기혼</x:v>
      </x:c>
      <x:c r="H413" s="7" t="n">
        <x:v>1</x:v>
      </x:c>
      <x:c r="I413" s="2" t="str">
        <x:f>IF(H413&lt;3,H413&amp;"명","3명 이상")</x:f>
        <x:v>1명</x:v>
      </x:c>
      <x:c r="J413" s="2" t="str">
        <x:v>비흡연</x:v>
      </x:c>
      <x:c r="K413" s="2" t="str">
        <x:v>없음</x:v>
      </x:c>
      <x:c r="L413" s="2" t="str">
        <x:v>심혈관</x:v>
      </x:c>
      <x:c r="M413" s="2" t="str">
        <x:v>수호천사 암/건강보험</x:v>
      </x:c>
      <x:c r="N413" s="2" t="str">
        <x:f>VLOOKUP(M413,'분류기준'!$A$5:$B$8,2,FALSE)</x:f>
        <x:v>암/건강보험</x:v>
      </x:c>
      <x:c r="O413" s="2" t="str">
        <x:v>표적항암약물허가치료 특약</x:v>
      </x:c>
      <x:c r="P413" s="2" t="str">
        <x:f>IF(O413="선택 안함","선택 안함",IF(O413="특약 없음","특약 없음","가입"))</x:f>
        <x:v>가입</x:v>
      </x:c>
      <x:c r="Q413" s="2" t="str">
        <x:f>IF(P413="가입","가입","미가입")</x:f>
        <x:v>가입</x:v>
      </x:c>
    </x:row>
    <x:row r="414" ht="23" customHeight="1">
      <x:c r="A414" s="2" t="str">
        <x:v>C0300</x:v>
      </x:c>
      <x:c r="B414" s="7" t="n">
        <x:v>39</x:v>
      </x:c>
      <x:c r="C414" s="2" t="str">
        <x:f>INT(B414/10)*10&amp;"대"</x:f>
        <x:v>30대</x:v>
      </x:c>
      <x:c r="D414" s="2" t="str">
        <x:v>남성</x:v>
      </x:c>
      <x:c r="E414" s="7" t="n">
        <x:v>4000</x:v>
      </x:c>
      <x:c r="F414" s="7" t="n">
        <x:v>1</x:v>
      </x:c>
      <x:c r="G414" s="2" t="str">
        <x:v>기혼</x:v>
      </x:c>
      <x:c r="H414" s="7" t="n">
        <x:v>1</x:v>
      </x:c>
      <x:c r="I414" s="2" t="str">
        <x:f>IF(H414&lt;3,H414&amp;"명","3명 이상")</x:f>
        <x:v>1명</x:v>
      </x:c>
      <x:c r="J414" s="2" t="str">
        <x:v>흡연</x:v>
      </x:c>
      <x:c r="K414" s="2" t="str">
        <x:v>없음</x:v>
      </x:c>
      <x:c r="L414" s="2" t="str">
        <x:v>없음</x:v>
      </x:c>
      <x:c r="M414" s="2" t="str">
        <x:v>수호천사 우리가족 종신보험</x:v>
      </x:c>
      <x:c r="N414" s="2" t="str">
        <x:f>VLOOKUP(M414,'분류기준'!$A$5:$B$8,2,FALSE)</x:f>
        <x:v>종신보험</x:v>
      </x:c>
      <x:c r="O414" s="2" t="str">
        <x:v>가족 수입 보장 특약</x:v>
      </x:c>
      <x:c r="P414" s="2" t="str">
        <x:f>IF(O414="선택 안함","선택 안함",IF(O414="특약 없음","특약 없음","가입"))</x:f>
        <x:v>가입</x:v>
      </x:c>
      <x:c r="Q414" s="2" t="str">
        <x:f>IF(P414="가입","가입","미가입")</x:f>
        <x:v>가입</x:v>
      </x:c>
    </x:row>
    <x:row r="415" ht="23" customHeight="1">
      <x:c r="A415" s="2" t="str">
        <x:v>C0380</x:v>
      </x:c>
      <x:c r="B415" s="7" t="n">
        <x:v>39</x:v>
      </x:c>
      <x:c r="C415" s="2" t="str">
        <x:f>INT(B415/10)*10&amp;"대"</x:f>
        <x:v>30대</x:v>
      </x:c>
      <x:c r="D415" s="2" t="str">
        <x:v>여성</x:v>
      </x:c>
      <x:c r="E415" s="7" t="n">
        <x:v>4000</x:v>
      </x:c>
      <x:c r="F415" s="7" t="n">
        <x:v>2</x:v>
      </x:c>
      <x:c r="G415" s="2" t="str">
        <x:v>기혼</x:v>
      </x:c>
      <x:c r="H415" s="7" t="n">
        <x:v>2</x:v>
      </x:c>
      <x:c r="I415" s="2" t="str">
        <x:f>IF(H415&lt;3,H415&amp;"명","3명 이상")</x:f>
        <x:v>2명</x:v>
      </x:c>
      <x:c r="J415" s="2" t="str">
        <x:v>비흡연</x:v>
      </x:c>
      <x:c r="K415" s="2" t="str">
        <x:v>없음</x:v>
      </x:c>
      <x:c r="L415" s="2" t="str">
        <x:v>없음</x:v>
      </x:c>
      <x:c r="M415" s="2" t="str">
        <x:v>수호천사 우리가족 종신보험</x:v>
      </x:c>
      <x:c r="N415" s="2" t="str">
        <x:f>VLOOKUP(M415,'분류기준'!$A$5:$B$8,2,FALSE)</x:f>
        <x:v>종신보험</x:v>
      </x:c>
      <x:c r="O415" s="2" t="str">
        <x:v>가족 수입 보장 특약</x:v>
      </x:c>
      <x:c r="P415" s="2" t="str">
        <x:f>IF(O415="선택 안함","선택 안함",IF(O415="특약 없음","특약 없음","가입"))</x:f>
        <x:v>가입</x:v>
      </x:c>
      <x:c r="Q415" s="2" t="str">
        <x:f>IF(P415="가입","가입","미가입")</x:f>
        <x:v>가입</x:v>
      </x:c>
    </x:row>
    <x:row r="416" ht="23" customHeight="1">
      <x:c r="A416" s="2" t="str">
        <x:v>C0486</x:v>
      </x:c>
      <x:c r="B416" s="7" t="n">
        <x:v>39</x:v>
      </x:c>
      <x:c r="C416" s="2" t="str">
        <x:f>INT(B416/10)*10&amp;"대"</x:f>
        <x:v>30대</x:v>
      </x:c>
      <x:c r="D416" s="2" t="str">
        <x:v>남성</x:v>
      </x:c>
      <x:c r="E416" s="7" t="n">
        <x:v>12000</x:v>
      </x:c>
      <x:c r="F416" s="7" t="n">
        <x:v>1</x:v>
      </x:c>
      <x:c r="G416" s="2" t="str">
        <x:v>기혼</x:v>
      </x:c>
      <x:c r="H416" s="7" t="n">
        <x:v>1</x:v>
      </x:c>
      <x:c r="I416" s="2" t="str">
        <x:f>IF(H416&lt;3,H416&amp;"명","3명 이상")</x:f>
        <x:v>1명</x:v>
      </x:c>
      <x:c r="J416" s="2" t="str">
        <x:v>비흡연</x:v>
      </x:c>
      <x:c r="K416" s="2" t="str">
        <x:v>없음</x:v>
      </x:c>
      <x:c r="L416" s="2" t="str">
        <x:v>암</x:v>
      </x:c>
      <x:c r="M416" s="2" t="str">
        <x:v>수호천사 암/건강보험</x:v>
      </x:c>
      <x:c r="N416" s="2" t="str">
        <x:f>VLOOKUP(M416,'분류기준'!$A$5:$B$8,2,FALSE)</x:f>
        <x:v>암/건강보험</x:v>
      </x:c>
      <x:c r="O416" s="2" t="str">
        <x:v>수술비 보장 특약</x:v>
      </x:c>
      <x:c r="P416" s="2" t="str">
        <x:f>IF(O416="선택 안함","선택 안함",IF(O416="특약 없음","특약 없음","가입"))</x:f>
        <x:v>가입</x:v>
      </x:c>
      <x:c r="Q416" s="2" t="str">
        <x:f>IF(P416="가입","가입","미가입")</x:f>
        <x:v>가입</x:v>
      </x:c>
    </x:row>
    <x:row r="417" ht="23" customHeight="1">
      <x:c r="A417" s="2" t="str">
        <x:v>C0550</x:v>
      </x:c>
      <x:c r="B417" s="7" t="n">
        <x:v>39</x:v>
      </x:c>
      <x:c r="C417" s="2" t="str">
        <x:f>INT(B417/10)*10&amp;"대"</x:f>
        <x:v>30대</x:v>
      </x:c>
      <x:c r="D417" s="2" t="str">
        <x:v>여성</x:v>
      </x:c>
      <x:c r="E417" s="7" t="n">
        <x:v>12000</x:v>
      </x:c>
      <x:c r="F417" s="7" t="n">
        <x:v>1</x:v>
      </x:c>
      <x:c r="G417" s="2" t="str">
        <x:v>기혼</x:v>
      </x:c>
      <x:c r="H417" s="7" t="n">
        <x:v>0</x:v>
      </x:c>
      <x:c r="I417" s="2" t="str">
        <x:f>IF(H417&lt;3,H417&amp;"명","3명 이상")</x:f>
        <x:v>0명</x:v>
      </x:c>
      <x:c r="J417" s="2" t="str">
        <x:v>흡연</x:v>
      </x:c>
      <x:c r="K417" s="2" t="str">
        <x:v>없음</x:v>
      </x:c>
      <x:c r="L417" s="2" t="str">
        <x:v>없음</x:v>
      </x:c>
      <x:c r="M417" s="2" t="str">
        <x:v>수호천사 간편심사(유병자)보험</x:v>
      </x:c>
      <x:c r="N417" s="2" t="str">
        <x:f>VLOOKUP(M417,'분류기준'!$A$5:$B$8,2,FALSE)</x:f>
        <x:v>간편심사보험</x:v>
      </x:c>
      <x:c r="O417" s="2" t="str">
        <x:v>선택 안함</x:v>
      </x:c>
      <x:c r="P417" s="2" t="str">
        <x:f>IF(O417="선택 안함","선택 안함",IF(O417="특약 없음","특약 없음","가입"))</x:f>
        <x:v>선택 안함</x:v>
      </x:c>
      <x:c r="Q417" s="2" t="str">
        <x:f>IF(P417="가입","가입","미가입")</x:f>
        <x:v>미가입</x:v>
      </x:c>
    </x:row>
    <x:row r="418" ht="23" customHeight="1">
      <x:c r="A418" s="2" t="str">
        <x:v>C0631</x:v>
      </x:c>
      <x:c r="B418" s="7" t="n">
        <x:v>39</x:v>
      </x:c>
      <x:c r="C418" s="2" t="str">
        <x:f>INT(B418/10)*10&amp;"대"</x:f>
        <x:v>30대</x:v>
      </x:c>
      <x:c r="D418" s="2" t="str">
        <x:v>남성</x:v>
      </x:c>
      <x:c r="E418" s="7" t="n">
        <x:v>3000</x:v>
      </x:c>
      <x:c r="F418" s="7" t="n">
        <x:v>2</x:v>
      </x:c>
      <x:c r="G418" s="2" t="str">
        <x:v>기혼</x:v>
      </x:c>
      <x:c r="H418" s="7" t="n">
        <x:v>0</x:v>
      </x:c>
      <x:c r="I418" s="2" t="str">
        <x:f>IF(H418&lt;3,H418&amp;"명","3명 이상")</x:f>
        <x:v>0명</x:v>
      </x:c>
      <x:c r="J418" s="2" t="str">
        <x:v>비흡연</x:v>
      </x:c>
      <x:c r="K418" s="2" t="str">
        <x:v>없음</x:v>
      </x:c>
      <x:c r="L418" s="2" t="str">
        <x:v>심혈관</x:v>
      </x:c>
      <x:c r="M418" s="2" t="str">
        <x:v>수호천사 암/건강보험</x:v>
      </x:c>
      <x:c r="N418" s="2" t="str">
        <x:f>VLOOKUP(M418,'분류기준'!$A$5:$B$8,2,FALSE)</x:f>
        <x:v>암/건강보험</x:v>
      </x:c>
      <x:c r="O418" s="2" t="str">
        <x:v>수술비 보장 특약</x:v>
      </x:c>
      <x:c r="P418" s="2" t="str">
        <x:f>IF(O418="선택 안함","선택 안함",IF(O418="특약 없음","특약 없음","가입"))</x:f>
        <x:v>가입</x:v>
      </x:c>
      <x:c r="Q418" s="2" t="str">
        <x:f>IF(P418="가입","가입","미가입")</x:f>
        <x:v>가입</x:v>
      </x:c>
    </x:row>
    <x:row r="419" ht="23" customHeight="1">
      <x:c r="A419" s="2" t="str">
        <x:v>C0656</x:v>
      </x:c>
      <x:c r="B419" s="7" t="n">
        <x:v>39</x:v>
      </x:c>
      <x:c r="C419" s="2" t="str">
        <x:f>INT(B419/10)*10&amp;"대"</x:f>
        <x:v>30대</x:v>
      </x:c>
      <x:c r="D419" s="2" t="str">
        <x:v>여성</x:v>
      </x:c>
      <x:c r="E419" s="7" t="n">
        <x:v>4000</x:v>
      </x:c>
      <x:c r="F419" s="7" t="n">
        <x:v>2</x:v>
      </x:c>
      <x:c r="G419" s="2" t="str">
        <x:v>기혼</x:v>
      </x:c>
      <x:c r="H419" s="7" t="n">
        <x:v>1</x:v>
      </x:c>
      <x:c r="I419" s="2" t="str">
        <x:f>IF(H419&lt;3,H419&amp;"명","3명 이상")</x:f>
        <x:v>1명</x:v>
      </x:c>
      <x:c r="J419" s="2" t="str">
        <x:v>비흡연</x:v>
      </x:c>
      <x:c r="K419" s="2" t="str">
        <x:v>고혈압</x:v>
      </x:c>
      <x:c r="L419" s="2" t="str">
        <x:v>없음</x:v>
      </x:c>
      <x:c r="M419" s="2" t="str">
        <x:v>수호천사 간편심사(유병자)보험</x:v>
      </x:c>
      <x:c r="N419" s="2" t="str">
        <x:f>VLOOKUP(M419,'분류기준'!$A$5:$B$8,2,FALSE)</x:f>
        <x:v>간편심사보험</x:v>
      </x:c>
      <x:c r="O419" s="2" t="str">
        <x:v>선택 안함</x:v>
      </x:c>
      <x:c r="P419" s="2" t="str">
        <x:f>IF(O419="선택 안함","선택 안함",IF(O419="특약 없음","특약 없음","가입"))</x:f>
        <x:v>선택 안함</x:v>
      </x:c>
      <x:c r="Q419" s="2" t="str">
        <x:f>IF(P419="가입","가입","미가입")</x:f>
        <x:v>미가입</x:v>
      </x:c>
    </x:row>
    <x:row r="420" ht="23" customHeight="1">
      <x:c r="A420" s="2" t="str">
        <x:v>C0690</x:v>
      </x:c>
      <x:c r="B420" s="7" t="n">
        <x:v>39</x:v>
      </x:c>
      <x:c r="C420" s="2" t="str">
        <x:f>INT(B420/10)*10&amp;"대"</x:f>
        <x:v>30대</x:v>
      </x:c>
      <x:c r="D420" s="2" t="str">
        <x:v>여성</x:v>
      </x:c>
      <x:c r="E420" s="7" t="n">
        <x:v>4000</x:v>
      </x:c>
      <x:c r="F420" s="7" t="n">
        <x:v>2</x:v>
      </x:c>
      <x:c r="G420" s="2" t="str">
        <x:v>기혼</x:v>
      </x:c>
      <x:c r="H420" s="7" t="n">
        <x:v>1</x:v>
      </x:c>
      <x:c r="I420" s="2" t="str">
        <x:f>IF(H420&lt;3,H420&amp;"명","3명 이상")</x:f>
        <x:v>1명</x:v>
      </x:c>
      <x:c r="J420" s="2" t="str">
        <x:v>비흡연</x:v>
      </x:c>
      <x:c r="K420" s="2" t="str">
        <x:v>없음</x:v>
      </x:c>
      <x:c r="L420" s="2" t="str">
        <x:v>없음</x:v>
      </x:c>
      <x:c r="M420" s="2" t="str">
        <x:v>수호천사 우리가족 종신보험</x:v>
      </x:c>
      <x:c r="N420" s="2" t="str">
        <x:f>VLOOKUP(M420,'분류기준'!$A$5:$B$8,2,FALSE)</x:f>
        <x:v>종신보험</x:v>
      </x:c>
      <x:c r="O420" s="2" t="str">
        <x:v>선택 안함</x:v>
      </x:c>
      <x:c r="P420" s="2" t="str">
        <x:f>IF(O420="선택 안함","선택 안함",IF(O420="특약 없음","특약 없음","가입"))</x:f>
        <x:v>선택 안함</x:v>
      </x:c>
      <x:c r="Q420" s="2" t="str">
        <x:f>IF(P420="가입","가입","미가입")</x:f>
        <x:v>미가입</x:v>
      </x:c>
    </x:row>
    <x:row r="421" ht="23" customHeight="1">
      <x:c r="A421" s="2" t="str">
        <x:v>C0795</x:v>
      </x:c>
      <x:c r="B421" s="7" t="n">
        <x:v>39</x:v>
      </x:c>
      <x:c r="C421" s="2" t="str">
        <x:f>INT(B421/10)*10&amp;"대"</x:f>
        <x:v>30대</x:v>
      </x:c>
      <x:c r="D421" s="2" t="str">
        <x:v>여성</x:v>
      </x:c>
      <x:c r="E421" s="7" t="n">
        <x:v>9000</x:v>
      </x:c>
      <x:c r="F421" s="7" t="n">
        <x:v>2</x:v>
      </x:c>
      <x:c r="G421" s="2" t="str">
        <x:v>미혼</x:v>
      </x:c>
      <x:c r="H421" s="7" t="n">
        <x:v>0</x:v>
      </x:c>
      <x:c r="I421" s="2" t="str">
        <x:f>IF(H421&lt;3,H421&amp;"명","3명 이상")</x:f>
        <x:v>0명</x:v>
      </x:c>
      <x:c r="J421" s="2" t="str">
        <x:v>비흡연</x:v>
      </x:c>
      <x:c r="K421" s="2" t="str">
        <x:v>없음</x:v>
      </x:c>
      <x:c r="L421" s="2" t="str">
        <x:v>심혈관</x:v>
      </x:c>
      <x:c r="M421" s="2" t="str">
        <x:v>수호천사 암/건강보험</x:v>
      </x:c>
      <x:c r="N421" s="2" t="str">
        <x:f>VLOOKUP(M421,'분류기준'!$A$5:$B$8,2,FALSE)</x:f>
        <x:v>암/건강보험</x:v>
      </x:c>
      <x:c r="O421" s="2" t="str">
        <x:v>표적항암약물허가치료 특약</x:v>
      </x:c>
      <x:c r="P421" s="2" t="str">
        <x:f>IF(O421="선택 안함","선택 안함",IF(O421="특약 없음","특약 없음","가입"))</x:f>
        <x:v>가입</x:v>
      </x:c>
      <x:c r="Q421" s="2" t="str">
        <x:f>IF(P421="가입","가입","미가입")</x:f>
        <x:v>가입</x:v>
      </x:c>
    </x:row>
    <x:row r="422" ht="23" customHeight="1">
      <x:c r="A422" s="2" t="str">
        <x:v>C0887</x:v>
      </x:c>
      <x:c r="B422" s="7" t="n">
        <x:v>39</x:v>
      </x:c>
      <x:c r="C422" s="2" t="str">
        <x:f>INT(B422/10)*10&amp;"대"</x:f>
        <x:v>30대</x:v>
      </x:c>
      <x:c r="D422" s="2" t="str">
        <x:v>남성</x:v>
      </x:c>
      <x:c r="E422" s="7" t="n">
        <x:v>5000</x:v>
      </x:c>
      <x:c r="F422" s="7" t="n">
        <x:v>1</x:v>
      </x:c>
      <x:c r="G422" s="2" t="str">
        <x:v>미혼</x:v>
      </x:c>
      <x:c r="H422" s="7" t="n">
        <x:v>0</x:v>
      </x:c>
      <x:c r="I422" s="2" t="str">
        <x:f>IF(H422&lt;3,H422&amp;"명","3명 이상")</x:f>
        <x:v>0명</x:v>
      </x:c>
      <x:c r="J422" s="2" t="str">
        <x:v>비흡연</x:v>
      </x:c>
      <x:c r="K422" s="2" t="str">
        <x:v>없음</x:v>
      </x:c>
      <x:c r="L422" s="2" t="str">
        <x:v>없음</x:v>
      </x:c>
      <x:c r="M422" s="2" t="str">
        <x:v>수호천사 우리가족 종신보험</x:v>
      </x:c>
      <x:c r="N422" s="2" t="str">
        <x:f>VLOOKUP(M422,'분류기준'!$A$5:$B$8,2,FALSE)</x:f>
        <x:v>종신보험</x:v>
      </x:c>
      <x:c r="O422" s="2" t="str">
        <x:v>선택 안함</x:v>
      </x:c>
      <x:c r="P422" s="2" t="str">
        <x:f>IF(O422="선택 안함","선택 안함",IF(O422="특약 없음","특약 없음","가입"))</x:f>
        <x:v>선택 안함</x:v>
      </x:c>
      <x:c r="Q422" s="2" t="str">
        <x:f>IF(P422="가입","가입","미가입")</x:f>
        <x:v>미가입</x:v>
      </x:c>
    </x:row>
    <x:row r="423" ht="23" customHeight="1">
      <x:c r="A423" s="2" t="str">
        <x:v>C0932</x:v>
      </x:c>
      <x:c r="B423" s="7" t="n">
        <x:v>39</x:v>
      </x:c>
      <x:c r="C423" s="2" t="str">
        <x:f>INT(B423/10)*10&amp;"대"</x:f>
        <x:v>30대</x:v>
      </x:c>
      <x:c r="D423" s="2" t="str">
        <x:v>남성</x:v>
      </x:c>
      <x:c r="E423" s="7" t="n">
        <x:v>3000</x:v>
      </x:c>
      <x:c r="F423" s="7" t="n">
        <x:v>2</x:v>
      </x:c>
      <x:c r="G423" s="2" t="str">
        <x:v>미혼</x:v>
      </x:c>
      <x:c r="H423" s="7" t="n">
        <x:v>0</x:v>
      </x:c>
      <x:c r="I423" s="2" t="str">
        <x:f>IF(H423&lt;3,H423&amp;"명","3명 이상")</x:f>
        <x:v>0명</x:v>
      </x:c>
      <x:c r="J423" s="2" t="str">
        <x:v>비흡연</x:v>
      </x:c>
      <x:c r="K423" s="2" t="str">
        <x:v>없음</x:v>
      </x:c>
      <x:c r="L423" s="2" t="str">
        <x:v>없음</x:v>
      </x:c>
      <x:c r="M423" s="2" t="str">
        <x:v>수호천사 행복 연금보험</x:v>
      </x:c>
      <x:c r="N423" s="2" t="str">
        <x:f>VLOOKUP(M423,'분류기준'!$A$5:$B$8,2,FALSE)</x:f>
        <x:v>연금보험</x:v>
      </x:c>
      <x:c r="O423" s="2" t="str">
        <x:v>특약 없음</x:v>
      </x:c>
      <x:c r="P423" s="2" t="str">
        <x:f>IF(O423="선택 안함","선택 안함",IF(O423="특약 없음","특약 없음","가입"))</x:f>
        <x:v>특약 없음</x:v>
      </x:c>
      <x:c r="Q423" s="2" t="str">
        <x:f>IF(P423="가입","가입","미가입")</x:f>
        <x:v>미가입</x:v>
      </x:c>
    </x:row>
    <x:row r="424" ht="23" customHeight="1">
      <x:c r="A424" s="2" t="str">
        <x:v>C0952</x:v>
      </x:c>
      <x:c r="B424" s="7" t="n">
        <x:v>39</x:v>
      </x:c>
      <x:c r="C424" s="2" t="str">
        <x:f>INT(B424/10)*10&amp;"대"</x:f>
        <x:v>30대</x:v>
      </x:c>
      <x:c r="D424" s="2" t="str">
        <x:v>남성</x:v>
      </x:c>
      <x:c r="E424" s="7" t="n">
        <x:v>3000</x:v>
      </x:c>
      <x:c r="F424" s="7" t="n">
        <x:v>1</x:v>
      </x:c>
      <x:c r="G424" s="2" t="str">
        <x:v>미혼</x:v>
      </x:c>
      <x:c r="H424" s="7" t="n">
        <x:v>0</x:v>
      </x:c>
      <x:c r="I424" s="2" t="str">
        <x:f>IF(H424&lt;3,H424&amp;"명","3명 이상")</x:f>
        <x:v>0명</x:v>
      </x:c>
      <x:c r="J424" s="2" t="str">
        <x:v>흡연</x:v>
      </x:c>
      <x:c r="K424" s="2" t="str">
        <x:v>없음</x:v>
      </x:c>
      <x:c r="L424" s="2" t="str">
        <x:v>없음</x:v>
      </x:c>
      <x:c r="M424" s="2" t="str">
        <x:v>수호천사 암/건강보험</x:v>
      </x:c>
      <x:c r="N424" s="2" t="str">
        <x:f>VLOOKUP(M424,'분류기준'!$A$5:$B$8,2,FALSE)</x:f>
        <x:v>암/건강보험</x:v>
      </x:c>
      <x:c r="O424" s="2" t="str">
        <x:v>선택 안함</x:v>
      </x:c>
      <x:c r="P424" s="2" t="str">
        <x:f>IF(O424="선택 안함","선택 안함",IF(O424="특약 없음","특약 없음","가입"))</x:f>
        <x:v>선택 안함</x:v>
      </x:c>
      <x:c r="Q424" s="2" t="str">
        <x:f>IF(P424="가입","가입","미가입")</x:f>
        <x:v>미가입</x:v>
      </x:c>
    </x:row>
    <x:row r="425" ht="23" customHeight="1">
      <x:c r="A425" s="2" t="str">
        <x:v>C0954</x:v>
      </x:c>
      <x:c r="B425" s="7" t="n">
        <x:v>39</x:v>
      </x:c>
      <x:c r="C425" s="2" t="str">
        <x:f>INT(B425/10)*10&amp;"대"</x:f>
        <x:v>30대</x:v>
      </x:c>
      <x:c r="D425" s="2" t="str">
        <x:v>남성</x:v>
      </x:c>
      <x:c r="E425" s="7" t="n">
        <x:v>6000</x:v>
      </x:c>
      <x:c r="F425" s="7" t="n">
        <x:v>1</x:v>
      </x:c>
      <x:c r="G425" s="2" t="str">
        <x:v>기혼</x:v>
      </x:c>
      <x:c r="H425" s="7" t="n">
        <x:v>1</x:v>
      </x:c>
      <x:c r="I425" s="2" t="str">
        <x:f>IF(H425&lt;3,H425&amp;"명","3명 이상")</x:f>
        <x:v>1명</x:v>
      </x:c>
      <x:c r="J425" s="2" t="str">
        <x:v>비흡연</x:v>
      </x:c>
      <x:c r="K425" s="2" t="str">
        <x:v>없음</x:v>
      </x:c>
      <x:c r="L425" s="2" t="str">
        <x:v>없음</x:v>
      </x:c>
      <x:c r="M425" s="2" t="str">
        <x:v>수호천사 우리가족 종신보험</x:v>
      </x:c>
      <x:c r="N425" s="2" t="str">
        <x:f>VLOOKUP(M425,'분류기준'!$A$5:$B$8,2,FALSE)</x:f>
        <x:v>종신보험</x:v>
      </x:c>
      <x:c r="O425" s="2" t="str">
        <x:v>가족 수입 보장 특약</x:v>
      </x:c>
      <x:c r="P425" s="2" t="str">
        <x:f>IF(O425="선택 안함","선택 안함",IF(O425="특약 없음","특약 없음","가입"))</x:f>
        <x:v>가입</x:v>
      </x:c>
      <x:c r="Q425" s="2" t="str">
        <x:f>IF(P425="가입","가입","미가입")</x:f>
        <x:v>가입</x:v>
      </x:c>
    </x:row>
    <x:row r="426" ht="23" customHeight="1">
      <x:c r="A426" s="2" t="str">
        <x:v>C0977</x:v>
      </x:c>
      <x:c r="B426" s="7" t="n">
        <x:v>39</x:v>
      </x:c>
      <x:c r="C426" s="2" t="str">
        <x:f>INT(B426/10)*10&amp;"대"</x:f>
        <x:v>30대</x:v>
      </x:c>
      <x:c r="D426" s="2" t="str">
        <x:v>여성</x:v>
      </x:c>
      <x:c r="E426" s="7" t="n">
        <x:v>4000</x:v>
      </x:c>
      <x:c r="F426" s="7" t="n">
        <x:v>1</x:v>
      </x:c>
      <x:c r="G426" s="2" t="str">
        <x:v>기혼</x:v>
      </x:c>
      <x:c r="H426" s="7" t="n">
        <x:v>2</x:v>
      </x:c>
      <x:c r="I426" s="2" t="str">
        <x:f>IF(H426&lt;3,H426&amp;"명","3명 이상")</x:f>
        <x:v>2명</x:v>
      </x:c>
      <x:c r="J426" s="2" t="str">
        <x:v>비흡연</x:v>
      </x:c>
      <x:c r="K426" s="2" t="str">
        <x:v>없음</x:v>
      </x:c>
      <x:c r="L426" s="2" t="str">
        <x:v>없음</x:v>
      </x:c>
      <x:c r="M426" s="2" t="str">
        <x:v>수호천사 우리가족 종신보험</x:v>
      </x:c>
      <x:c r="N426" s="2" t="str">
        <x:f>VLOOKUP(M426,'분류기준'!$A$5:$B$8,2,FALSE)</x:f>
        <x:v>종신보험</x:v>
      </x:c>
      <x:c r="O426" s="2" t="str">
        <x:v>가족 수입 보장 특약</x:v>
      </x:c>
      <x:c r="P426" s="2" t="str">
        <x:f>IF(O426="선택 안함","선택 안함",IF(O426="특약 없음","특약 없음","가입"))</x:f>
        <x:v>가입</x:v>
      </x:c>
      <x:c r="Q426" s="2" t="str">
        <x:f>IF(P426="가입","가입","미가입")</x:f>
        <x:v>가입</x:v>
      </x:c>
    </x:row>
    <x:row r="427" ht="23" customHeight="1">
      <x:c r="A427" s="2" t="str">
        <x:v>C0006</x:v>
      </x:c>
      <x:c r="B427" s="7" t="n">
        <x:v>40</x:v>
      </x:c>
      <x:c r="C427" s="2" t="str">
        <x:f>INT(B427/10)*10&amp;"대"</x:f>
        <x:v>40대</x:v>
      </x:c>
      <x:c r="D427" s="2" t="str">
        <x:v>여성</x:v>
      </x:c>
      <x:c r="E427" s="7" t="n">
        <x:v>4000</x:v>
      </x:c>
      <x:c r="F427" s="7" t="n">
        <x:v>1</x:v>
      </x:c>
      <x:c r="G427" s="2" t="str">
        <x:v>기혼</x:v>
      </x:c>
      <x:c r="H427" s="7" t="n">
        <x:v>2</x:v>
      </x:c>
      <x:c r="I427" s="2" t="str">
        <x:f>IF(H427&lt;3,H427&amp;"명","3명 이상")</x:f>
        <x:v>2명</x:v>
      </x:c>
      <x:c r="J427" s="2" t="str">
        <x:v>비흡연</x:v>
      </x:c>
      <x:c r="K427" s="2" t="str">
        <x:v>없음</x:v>
      </x:c>
      <x:c r="L427" s="2" t="str">
        <x:v>암</x:v>
      </x:c>
      <x:c r="M427" s="2" t="str">
        <x:v>수호천사 암/건강보험</x:v>
      </x:c>
      <x:c r="N427" s="2" t="str">
        <x:f>VLOOKUP(M427,'분류기준'!$A$5:$B$8,2,FALSE)</x:f>
        <x:v>암/건강보험</x:v>
      </x:c>
      <x:c r="O427" s="2" t="str">
        <x:v>표적항암약물허가치료 특약</x:v>
      </x:c>
      <x:c r="P427" s="2" t="str">
        <x:f>IF(O427="선택 안함","선택 안함",IF(O427="특약 없음","특약 없음","가입"))</x:f>
        <x:v>가입</x:v>
      </x:c>
      <x:c r="Q427" s="2" t="str">
        <x:f>IF(P427="가입","가입","미가입")</x:f>
        <x:v>가입</x:v>
      </x:c>
    </x:row>
    <x:row r="428" ht="23" customHeight="1">
      <x:c r="A428" s="2" t="str">
        <x:v>C0024</x:v>
      </x:c>
      <x:c r="B428" s="7" t="n">
        <x:v>40</x:v>
      </x:c>
      <x:c r="C428" s="2" t="str">
        <x:f>INT(B428/10)*10&amp;"대"</x:f>
        <x:v>40대</x:v>
      </x:c>
      <x:c r="D428" s="2" t="str">
        <x:v>여성</x:v>
      </x:c>
      <x:c r="E428" s="7" t="n">
        <x:v>6000</x:v>
      </x:c>
      <x:c r="F428" s="7" t="n">
        <x:v>1</x:v>
      </x:c>
      <x:c r="G428" s="2" t="str">
        <x:v>미혼</x:v>
      </x:c>
      <x:c r="H428" s="7" t="n">
        <x:v>0</x:v>
      </x:c>
      <x:c r="I428" s="2" t="str">
        <x:f>IF(H428&lt;3,H428&amp;"명","3명 이상")</x:f>
        <x:v>0명</x:v>
      </x:c>
      <x:c r="J428" s="2" t="str">
        <x:v>비흡연</x:v>
      </x:c>
      <x:c r="K428" s="2" t="str">
        <x:v>없음</x:v>
      </x:c>
      <x:c r="L428" s="2" t="str">
        <x:v>암</x:v>
      </x:c>
      <x:c r="M428" s="2" t="str">
        <x:v>수호천사 암/건강보험</x:v>
      </x:c>
      <x:c r="N428" s="2" t="str">
        <x:f>VLOOKUP(M428,'분류기준'!$A$5:$B$8,2,FALSE)</x:f>
        <x:v>암/건강보험</x:v>
      </x:c>
      <x:c r="O428" s="2" t="str">
        <x:v>수술비 보장 특약</x:v>
      </x:c>
      <x:c r="P428" s="2" t="str">
        <x:f>IF(O428="선택 안함","선택 안함",IF(O428="특약 없음","특약 없음","가입"))</x:f>
        <x:v>가입</x:v>
      </x:c>
      <x:c r="Q428" s="2" t="str">
        <x:f>IF(P428="가입","가입","미가입")</x:f>
        <x:v>가입</x:v>
      </x:c>
    </x:row>
    <x:row r="429" ht="23" customHeight="1">
      <x:c r="A429" s="2" t="str">
        <x:v>C0039</x:v>
      </x:c>
      <x:c r="B429" s="7" t="n">
        <x:v>40</x:v>
      </x:c>
      <x:c r="C429" s="2" t="str">
        <x:f>INT(B429/10)*10&amp;"대"</x:f>
        <x:v>40대</x:v>
      </x:c>
      <x:c r="D429" s="2" t="str">
        <x:v>여성</x:v>
      </x:c>
      <x:c r="E429" s="7" t="n">
        <x:v>4000</x:v>
      </x:c>
      <x:c r="F429" s="7" t="n">
        <x:v>1</x:v>
      </x:c>
      <x:c r="G429" s="2" t="str">
        <x:v>미혼</x:v>
      </x:c>
      <x:c r="H429" s="7" t="n">
        <x:v>0</x:v>
      </x:c>
      <x:c r="I429" s="2" t="str">
        <x:f>IF(H429&lt;3,H429&amp;"명","3명 이상")</x:f>
        <x:v>0명</x:v>
      </x:c>
      <x:c r="J429" s="2" t="str">
        <x:v>비흡연</x:v>
      </x:c>
      <x:c r="K429" s="2" t="str">
        <x:v>없음</x:v>
      </x:c>
      <x:c r="L429" s="2" t="str">
        <x:v>없음</x:v>
      </x:c>
      <x:c r="M429" s="2" t="str">
        <x:v>수호천사 우리가족 종신보험</x:v>
      </x:c>
      <x:c r="N429" s="2" t="str">
        <x:f>VLOOKUP(M429,'분류기준'!$A$5:$B$8,2,FALSE)</x:f>
        <x:v>종신보험</x:v>
      </x:c>
      <x:c r="O429" s="2" t="str">
        <x:v>가족 수입 보장 특약</x:v>
      </x:c>
      <x:c r="P429" s="2" t="str">
        <x:f>IF(O429="선택 안함","선택 안함",IF(O429="특약 없음","특약 없음","가입"))</x:f>
        <x:v>가입</x:v>
      </x:c>
      <x:c r="Q429" s="2" t="str">
        <x:f>IF(P429="가입","가입","미가입")</x:f>
        <x:v>가입</x:v>
      </x:c>
    </x:row>
    <x:row r="430" ht="23" customHeight="1">
      <x:c r="A430" s="2" t="str">
        <x:v>C0078</x:v>
      </x:c>
      <x:c r="B430" s="7" t="n">
        <x:v>40</x:v>
      </x:c>
      <x:c r="C430" s="2" t="str">
        <x:f>INT(B430/10)*10&amp;"대"</x:f>
        <x:v>40대</x:v>
      </x:c>
      <x:c r="D430" s="2" t="str">
        <x:v>여성</x:v>
      </x:c>
      <x:c r="E430" s="7" t="n">
        <x:v>5000</x:v>
      </x:c>
      <x:c r="F430" s="7" t="n">
        <x:v>2</x:v>
      </x:c>
      <x:c r="G430" s="2" t="str">
        <x:v>미혼</x:v>
      </x:c>
      <x:c r="H430" s="7" t="n">
        <x:v>0</x:v>
      </x:c>
      <x:c r="I430" s="2" t="str">
        <x:f>IF(H430&lt;3,H430&amp;"명","3명 이상")</x:f>
        <x:v>0명</x:v>
      </x:c>
      <x:c r="J430" s="2" t="str">
        <x:v>비흡연</x:v>
      </x:c>
      <x:c r="K430" s="2" t="str">
        <x:v>당뇨</x:v>
      </x:c>
      <x:c r="L430" s="2" t="str">
        <x:v>없음</x:v>
      </x:c>
      <x:c r="M430" s="2" t="str">
        <x:v>수호천사 간편심사(유병자)보험</x:v>
      </x:c>
      <x:c r="N430" s="2" t="str">
        <x:f>VLOOKUP(M430,'분류기준'!$A$5:$B$8,2,FALSE)</x:f>
        <x:v>간편심사보험</x:v>
      </x:c>
      <x:c r="O430" s="2" t="str">
        <x:v>중증질환 산정특례 보장 특약</x:v>
      </x:c>
      <x:c r="P430" s="2" t="str">
        <x:f>IF(O430="선택 안함","선택 안함",IF(O430="특약 없음","특약 없음","가입"))</x:f>
        <x:v>가입</x:v>
      </x:c>
      <x:c r="Q430" s="2" t="str">
        <x:f>IF(P430="가입","가입","미가입")</x:f>
        <x:v>가입</x:v>
      </x:c>
    </x:row>
    <x:row r="431" ht="23" customHeight="1">
      <x:c r="A431" s="2" t="str">
        <x:v>C0299</x:v>
      </x:c>
      <x:c r="B431" s="7" t="n">
        <x:v>40</x:v>
      </x:c>
      <x:c r="C431" s="2" t="str">
        <x:f>INT(B431/10)*10&amp;"대"</x:f>
        <x:v>40대</x:v>
      </x:c>
      <x:c r="D431" s="2" t="str">
        <x:v>남성</x:v>
      </x:c>
      <x:c r="E431" s="7" t="n">
        <x:v>7500</x:v>
      </x:c>
      <x:c r="F431" s="7" t="n">
        <x:v>1</x:v>
      </x:c>
      <x:c r="G431" s="2" t="str">
        <x:v>미혼</x:v>
      </x:c>
      <x:c r="H431" s="7" t="n">
        <x:v>0</x:v>
      </x:c>
      <x:c r="I431" s="2" t="str">
        <x:f>IF(H431&lt;3,H431&amp;"명","3명 이상")</x:f>
        <x:v>0명</x:v>
      </x:c>
      <x:c r="J431" s="2" t="str">
        <x:v>흡연</x:v>
      </x:c>
      <x:c r="K431" s="2" t="str">
        <x:v>없음</x:v>
      </x:c>
      <x:c r="L431" s="2" t="str">
        <x:v>없음</x:v>
      </x:c>
      <x:c r="M431" s="2" t="str">
        <x:v>수호천사 암/건강보험</x:v>
      </x:c>
      <x:c r="N431" s="2" t="str">
        <x:f>VLOOKUP(M431,'분류기준'!$A$5:$B$8,2,FALSE)</x:f>
        <x:v>암/건강보험</x:v>
      </x:c>
      <x:c r="O431" s="2" t="str">
        <x:v>수술비 보장 특약</x:v>
      </x:c>
      <x:c r="P431" s="2" t="str">
        <x:f>IF(O431="선택 안함","선택 안함",IF(O431="특약 없음","특약 없음","가입"))</x:f>
        <x:v>가입</x:v>
      </x:c>
      <x:c r="Q431" s="2" t="str">
        <x:f>IF(P431="가입","가입","미가입")</x:f>
        <x:v>가입</x:v>
      </x:c>
    </x:row>
    <x:row r="432" ht="23" customHeight="1">
      <x:c r="A432" s="2" t="str">
        <x:v>C0318</x:v>
      </x:c>
      <x:c r="B432" s="7" t="n">
        <x:v>40</x:v>
      </x:c>
      <x:c r="C432" s="2" t="str">
        <x:f>INT(B432/10)*10&amp;"대"</x:f>
        <x:v>40대</x:v>
      </x:c>
      <x:c r="D432" s="2" t="str">
        <x:v>여성</x:v>
      </x:c>
      <x:c r="E432" s="7" t="n">
        <x:v>6000</x:v>
      </x:c>
      <x:c r="F432" s="7" t="n">
        <x:v>1</x:v>
      </x:c>
      <x:c r="G432" s="2" t="str">
        <x:v>기혼</x:v>
      </x:c>
      <x:c r="H432" s="7" t="n">
        <x:v>1</x:v>
      </x:c>
      <x:c r="I432" s="2" t="str">
        <x:f>IF(H432&lt;3,H432&amp;"명","3명 이상")</x:f>
        <x:v>1명</x:v>
      </x:c>
      <x:c r="J432" s="2" t="str">
        <x:v>비흡연</x:v>
      </x:c>
      <x:c r="K432" s="2" t="str">
        <x:v>고혈압</x:v>
      </x:c>
      <x:c r="L432" s="2" t="str">
        <x:v>없음</x:v>
      </x:c>
      <x:c r="M432" s="2" t="str">
        <x:v>수호천사 간편심사(유병자)보험</x:v>
      </x:c>
      <x:c r="N432" s="2" t="str">
        <x:f>VLOOKUP(M432,'분류기준'!$A$5:$B$8,2,FALSE)</x:f>
        <x:v>간편심사보험</x:v>
      </x:c>
      <x:c r="O432" s="2" t="str">
        <x:v>중증질환 산정특례 보장 특약</x:v>
      </x:c>
      <x:c r="P432" s="2" t="str">
        <x:f>IF(O432="선택 안함","선택 안함",IF(O432="특약 없음","특약 없음","가입"))</x:f>
        <x:v>가입</x:v>
      </x:c>
      <x:c r="Q432" s="2" t="str">
        <x:f>IF(P432="가입","가입","미가입")</x:f>
        <x:v>가입</x:v>
      </x:c>
    </x:row>
    <x:row r="433" ht="23" customHeight="1">
      <x:c r="A433" s="2" t="str">
        <x:v>C0343</x:v>
      </x:c>
      <x:c r="B433" s="7" t="n">
        <x:v>40</x:v>
      </x:c>
      <x:c r="C433" s="2" t="str">
        <x:f>INT(B433/10)*10&amp;"대"</x:f>
        <x:v>40대</x:v>
      </x:c>
      <x:c r="D433" s="2" t="str">
        <x:v>여성</x:v>
      </x:c>
      <x:c r="E433" s="7" t="n">
        <x:v>5000</x:v>
      </x:c>
      <x:c r="F433" s="7" t="n">
        <x:v>1</x:v>
      </x:c>
      <x:c r="G433" s="2" t="str">
        <x:v>미혼</x:v>
      </x:c>
      <x:c r="H433" s="7" t="n">
        <x:v>0</x:v>
      </x:c>
      <x:c r="I433" s="2" t="str">
        <x:f>IF(H433&lt;3,H433&amp;"명","3명 이상")</x:f>
        <x:v>0명</x:v>
      </x:c>
      <x:c r="J433" s="2" t="str">
        <x:v>비흡연</x:v>
      </x:c>
      <x:c r="K433" s="2" t="str">
        <x:v>없음</x:v>
      </x:c>
      <x:c r="L433" s="2" t="str">
        <x:v>심혈관</x:v>
      </x:c>
      <x:c r="M433" s="2" t="str">
        <x:v>수호천사 행복 연금보험</x:v>
      </x:c>
      <x:c r="N433" s="2" t="str">
        <x:f>VLOOKUP(M433,'분류기준'!$A$5:$B$8,2,FALSE)</x:f>
        <x:v>연금보험</x:v>
      </x:c>
      <x:c r="O433" s="2" t="str">
        <x:v>특약 없음</x:v>
      </x:c>
      <x:c r="P433" s="2" t="str">
        <x:f>IF(O433="선택 안함","선택 안함",IF(O433="특약 없음","특약 없음","가입"))</x:f>
        <x:v>특약 없음</x:v>
      </x:c>
      <x:c r="Q433" s="2" t="str">
        <x:f>IF(P433="가입","가입","미가입")</x:f>
        <x:v>미가입</x:v>
      </x:c>
    </x:row>
    <x:row r="434" ht="23" customHeight="1">
      <x:c r="A434" s="2" t="str">
        <x:v>C0460</x:v>
      </x:c>
      <x:c r="B434" s="7" t="n">
        <x:v>40</x:v>
      </x:c>
      <x:c r="C434" s="2" t="str">
        <x:f>INT(B434/10)*10&amp;"대"</x:f>
        <x:v>40대</x:v>
      </x:c>
      <x:c r="D434" s="2" t="str">
        <x:v>남성</x:v>
      </x:c>
      <x:c r="E434" s="7" t="n">
        <x:v>6000</x:v>
      </x:c>
      <x:c r="F434" s="7" t="n">
        <x:v>3</x:v>
      </x:c>
      <x:c r="G434" s="2" t="str">
        <x:v>기혼</x:v>
      </x:c>
      <x:c r="H434" s="7" t="n">
        <x:v>0</x:v>
      </x:c>
      <x:c r="I434" s="2" t="str">
        <x:f>IF(H434&lt;3,H434&amp;"명","3명 이상")</x:f>
        <x:v>0명</x:v>
      </x:c>
      <x:c r="J434" s="2" t="str">
        <x:v>비흡연</x:v>
      </x:c>
      <x:c r="K434" s="2" t="str">
        <x:v>없음</x:v>
      </x:c>
      <x:c r="L434" s="2" t="str">
        <x:v>암</x:v>
      </x:c>
      <x:c r="M434" s="2" t="str">
        <x:v>수호천사 암/건강보험</x:v>
      </x:c>
      <x:c r="N434" s="2" t="str">
        <x:f>VLOOKUP(M434,'분류기준'!$A$5:$B$8,2,FALSE)</x:f>
        <x:v>암/건강보험</x:v>
      </x:c>
      <x:c r="O434" s="2" t="str">
        <x:v>표적항암약물허가치료 특약</x:v>
      </x:c>
      <x:c r="P434" s="2" t="str">
        <x:f>IF(O434="선택 안함","선택 안함",IF(O434="특약 없음","특약 없음","가입"))</x:f>
        <x:v>가입</x:v>
      </x:c>
      <x:c r="Q434" s="2" t="str">
        <x:f>IF(P434="가입","가입","미가입")</x:f>
        <x:v>가입</x:v>
      </x:c>
    </x:row>
    <x:row r="435" ht="23" customHeight="1">
      <x:c r="A435" s="2" t="str">
        <x:v>C0526</x:v>
      </x:c>
      <x:c r="B435" s="7" t="n">
        <x:v>40</x:v>
      </x:c>
      <x:c r="C435" s="2" t="str">
        <x:f>INT(B435/10)*10&amp;"대"</x:f>
        <x:v>40대</x:v>
      </x:c>
      <x:c r="D435" s="2" t="str">
        <x:v>여성</x:v>
      </x:c>
      <x:c r="E435" s="7" t="n">
        <x:v>5000</x:v>
      </x:c>
      <x:c r="F435" s="7" t="n">
        <x:v>1</x:v>
      </x:c>
      <x:c r="G435" s="2" t="str">
        <x:v>기혼</x:v>
      </x:c>
      <x:c r="H435" s="7" t="n">
        <x:v>1</x:v>
      </x:c>
      <x:c r="I435" s="2" t="str">
        <x:f>IF(H435&lt;3,H435&amp;"명","3명 이상")</x:f>
        <x:v>1명</x:v>
      </x:c>
      <x:c r="J435" s="2" t="str">
        <x:v>흡연</x:v>
      </x:c>
      <x:c r="K435" s="2" t="str">
        <x:v>고혈압</x:v>
      </x:c>
      <x:c r="L435" s="2" t="str">
        <x:v>없음</x:v>
      </x:c>
      <x:c r="M435" s="2" t="str">
        <x:v>수호천사 우리가족 종신보험</x:v>
      </x:c>
      <x:c r="N435" s="2" t="str">
        <x:f>VLOOKUP(M435,'분류기준'!$A$5:$B$8,2,FALSE)</x:f>
        <x:v>종신보험</x:v>
      </x:c>
      <x:c r="O435" s="2" t="str">
        <x:v>가족 수입 보장 특약</x:v>
      </x:c>
      <x:c r="P435" s="2" t="str">
        <x:f>IF(O435="선택 안함","선택 안함",IF(O435="특약 없음","특약 없음","가입"))</x:f>
        <x:v>가입</x:v>
      </x:c>
      <x:c r="Q435" s="2" t="str">
        <x:f>IF(P435="가입","가입","미가입")</x:f>
        <x:v>가입</x:v>
      </x:c>
    </x:row>
    <x:row r="436" ht="23" customHeight="1">
      <x:c r="A436" s="2" t="str">
        <x:v>C0571</x:v>
      </x:c>
      <x:c r="B436" s="7" t="n">
        <x:v>40</x:v>
      </x:c>
      <x:c r="C436" s="2" t="str">
        <x:f>INT(B436/10)*10&amp;"대"</x:f>
        <x:v>40대</x:v>
      </x:c>
      <x:c r="D436" s="2" t="str">
        <x:v>여성</x:v>
      </x:c>
      <x:c r="E436" s="7" t="n">
        <x:v>5000</x:v>
      </x:c>
      <x:c r="F436" s="7" t="n">
        <x:v>2</x:v>
      </x:c>
      <x:c r="G436" s="2" t="str">
        <x:v>미혼</x:v>
      </x:c>
      <x:c r="H436" s="7" t="n">
        <x:v>0</x:v>
      </x:c>
      <x:c r="I436" s="2" t="str">
        <x:f>IF(H436&lt;3,H436&amp;"명","3명 이상")</x:f>
        <x:v>0명</x:v>
      </x:c>
      <x:c r="J436" s="2" t="str">
        <x:v>흡연</x:v>
      </x:c>
      <x:c r="K436" s="2" t="str">
        <x:v>고혈압</x:v>
      </x:c>
      <x:c r="L436" s="2" t="str">
        <x:v>없음</x:v>
      </x:c>
      <x:c r="M436" s="2" t="str">
        <x:v>수호천사 우리가족 종신보험</x:v>
      </x:c>
      <x:c r="N436" s="2" t="str">
        <x:f>VLOOKUP(M436,'분류기준'!$A$5:$B$8,2,FALSE)</x:f>
        <x:v>종신보험</x:v>
      </x:c>
      <x:c r="O436" s="2" t="str">
        <x:v>선택 안함</x:v>
      </x:c>
      <x:c r="P436" s="2" t="str">
        <x:f>IF(O436="선택 안함","선택 안함",IF(O436="특약 없음","특약 없음","가입"))</x:f>
        <x:v>선택 안함</x:v>
      </x:c>
      <x:c r="Q436" s="2" t="str">
        <x:f>IF(P436="가입","가입","미가입")</x:f>
        <x:v>미가입</x:v>
      </x:c>
    </x:row>
    <x:row r="437" ht="23" customHeight="1">
      <x:c r="A437" s="2" t="str">
        <x:v>C0648</x:v>
      </x:c>
      <x:c r="B437" s="7" t="n">
        <x:v>40</x:v>
      </x:c>
      <x:c r="C437" s="2" t="str">
        <x:f>INT(B437/10)*10&amp;"대"</x:f>
        <x:v>40대</x:v>
      </x:c>
      <x:c r="D437" s="2" t="str">
        <x:v>여성</x:v>
      </x:c>
      <x:c r="E437" s="7" t="n">
        <x:v>3000</x:v>
      </x:c>
      <x:c r="F437" s="7" t="n">
        <x:v>1</x:v>
      </x:c>
      <x:c r="G437" s="2" t="str">
        <x:v>기혼</x:v>
      </x:c>
      <x:c r="H437" s="7" t="n">
        <x:v>1</x:v>
      </x:c>
      <x:c r="I437" s="2" t="str">
        <x:f>IF(H437&lt;3,H437&amp;"명","3명 이상")</x:f>
        <x:v>1명</x:v>
      </x:c>
      <x:c r="J437" s="2" t="str">
        <x:v>비흡연</x:v>
      </x:c>
      <x:c r="K437" s="2" t="str">
        <x:v>고혈압</x:v>
      </x:c>
      <x:c r="L437" s="2" t="str">
        <x:v>없음</x:v>
      </x:c>
      <x:c r="M437" s="2" t="str">
        <x:v>수호천사 간편심사(유병자)보험</x:v>
      </x:c>
      <x:c r="N437" s="2" t="str">
        <x:f>VLOOKUP(M437,'분류기준'!$A$5:$B$8,2,FALSE)</x:f>
        <x:v>간편심사보험</x:v>
      </x:c>
      <x:c r="O437" s="2" t="str">
        <x:v>중증질환 산정특례 보장 특약</x:v>
      </x:c>
      <x:c r="P437" s="2" t="str">
        <x:f>IF(O437="선택 안함","선택 안함",IF(O437="특약 없음","특약 없음","가입"))</x:f>
        <x:v>가입</x:v>
      </x:c>
      <x:c r="Q437" s="2" t="str">
        <x:f>IF(P437="가입","가입","미가입")</x:f>
        <x:v>가입</x:v>
      </x:c>
    </x:row>
    <x:row r="438" ht="23" customHeight="1">
      <x:c r="A438" s="2" t="str">
        <x:v>C0650</x:v>
      </x:c>
      <x:c r="B438" s="7" t="n">
        <x:v>40</x:v>
      </x:c>
      <x:c r="C438" s="2" t="str">
        <x:f>INT(B438/10)*10&amp;"대"</x:f>
        <x:v>40대</x:v>
      </x:c>
      <x:c r="D438" s="2" t="str">
        <x:v>남성</x:v>
      </x:c>
      <x:c r="E438" s="7" t="n">
        <x:v>7500</x:v>
      </x:c>
      <x:c r="F438" s="7" t="n">
        <x:v>1</x:v>
      </x:c>
      <x:c r="G438" s="2" t="str">
        <x:v>미혼</x:v>
      </x:c>
      <x:c r="H438" s="7" t="n">
        <x:v>0</x:v>
      </x:c>
      <x:c r="I438" s="2" t="str">
        <x:f>IF(H438&lt;3,H438&amp;"명","3명 이상")</x:f>
        <x:v>0명</x:v>
      </x:c>
      <x:c r="J438" s="2" t="str">
        <x:v>비흡연</x:v>
      </x:c>
      <x:c r="K438" s="2" t="str">
        <x:v>고혈압</x:v>
      </x:c>
      <x:c r="L438" s="2" t="str">
        <x:v>심혈관</x:v>
      </x:c>
      <x:c r="M438" s="2" t="str">
        <x:v>수호천사 행복 연금보험</x:v>
      </x:c>
      <x:c r="N438" s="2" t="str">
        <x:f>VLOOKUP(M438,'분류기준'!$A$5:$B$8,2,FALSE)</x:f>
        <x:v>연금보험</x:v>
      </x:c>
      <x:c r="O438" s="2" t="str">
        <x:v>특약 없음</x:v>
      </x:c>
      <x:c r="P438" s="2" t="str">
        <x:f>IF(O438="선택 안함","선택 안함",IF(O438="특약 없음","특약 없음","가입"))</x:f>
        <x:v>특약 없음</x:v>
      </x:c>
      <x:c r="Q438" s="2" t="str">
        <x:f>IF(P438="가입","가입","미가입")</x:f>
        <x:v>미가입</x:v>
      </x:c>
    </x:row>
    <x:row r="439" ht="23" customHeight="1">
      <x:c r="A439" s="2" t="str">
        <x:v>C0711</x:v>
      </x:c>
      <x:c r="B439" s="7" t="n">
        <x:v>40</x:v>
      </x:c>
      <x:c r="C439" s="2" t="str">
        <x:f>INT(B439/10)*10&amp;"대"</x:f>
        <x:v>40대</x:v>
      </x:c>
      <x:c r="D439" s="2" t="str">
        <x:v>여성</x:v>
      </x:c>
      <x:c r="E439" s="7" t="n">
        <x:v>5000</x:v>
      </x:c>
      <x:c r="F439" s="7" t="n">
        <x:v>1</x:v>
      </x:c>
      <x:c r="G439" s="2" t="str">
        <x:v>기혼</x:v>
      </x:c>
      <x:c r="H439" s="7" t="n">
        <x:v>1</x:v>
      </x:c>
      <x:c r="I439" s="2" t="str">
        <x:f>IF(H439&lt;3,H439&amp;"명","3명 이상")</x:f>
        <x:v>1명</x:v>
      </x:c>
      <x:c r="J439" s="2" t="str">
        <x:v>비흡연</x:v>
      </x:c>
      <x:c r="K439" s="2" t="str">
        <x:v>없음</x:v>
      </x:c>
      <x:c r="L439" s="2" t="str">
        <x:v>암</x:v>
      </x:c>
      <x:c r="M439" s="2" t="str">
        <x:v>수호천사 암/건강보험</x:v>
      </x:c>
      <x:c r="N439" s="2" t="str">
        <x:f>VLOOKUP(M439,'분류기준'!$A$5:$B$8,2,FALSE)</x:f>
        <x:v>암/건강보험</x:v>
      </x:c>
      <x:c r="O439" s="2" t="str">
        <x:v>표적항암약물허가치료 특약</x:v>
      </x:c>
      <x:c r="P439" s="2" t="str">
        <x:f>IF(O439="선택 안함","선택 안함",IF(O439="특약 없음","특약 없음","가입"))</x:f>
        <x:v>가입</x:v>
      </x:c>
      <x:c r="Q439" s="2" t="str">
        <x:f>IF(P439="가입","가입","미가입")</x:f>
        <x:v>가입</x:v>
      </x:c>
    </x:row>
    <x:row r="440" ht="23" customHeight="1">
      <x:c r="A440" s="2" t="str">
        <x:v>C0722</x:v>
      </x:c>
      <x:c r="B440" s="7" t="n">
        <x:v>40</x:v>
      </x:c>
      <x:c r="C440" s="2" t="str">
        <x:f>INT(B440/10)*10&amp;"대"</x:f>
        <x:v>40대</x:v>
      </x:c>
      <x:c r="D440" s="2" t="str">
        <x:v>여성</x:v>
      </x:c>
      <x:c r="E440" s="7" t="n">
        <x:v>4000</x:v>
      </x:c>
      <x:c r="F440" s="7" t="n">
        <x:v>1</x:v>
      </x:c>
      <x:c r="G440" s="2" t="str">
        <x:v>기혼</x:v>
      </x:c>
      <x:c r="H440" s="7" t="n">
        <x:v>2</x:v>
      </x:c>
      <x:c r="I440" s="2" t="str">
        <x:f>IF(H440&lt;3,H440&amp;"명","3명 이상")</x:f>
        <x:v>2명</x:v>
      </x:c>
      <x:c r="J440" s="2" t="str">
        <x:v>비흡연</x:v>
      </x:c>
      <x:c r="K440" s="2" t="str">
        <x:v>없음</x:v>
      </x:c>
      <x:c r="L440" s="2" t="str">
        <x:v>없음</x:v>
      </x:c>
      <x:c r="M440" s="2" t="str">
        <x:v>수호천사 우리가족 종신보험</x:v>
      </x:c>
      <x:c r="N440" s="2" t="str">
        <x:f>VLOOKUP(M440,'분류기준'!$A$5:$B$8,2,FALSE)</x:f>
        <x:v>종신보험</x:v>
      </x:c>
      <x:c r="O440" s="2" t="str">
        <x:v>가족 수입 보장 특약</x:v>
      </x:c>
      <x:c r="P440" s="2" t="str">
        <x:f>IF(O440="선택 안함","선택 안함",IF(O440="특약 없음","특약 없음","가입"))</x:f>
        <x:v>가입</x:v>
      </x:c>
      <x:c r="Q440" s="2" t="str">
        <x:f>IF(P440="가입","가입","미가입")</x:f>
        <x:v>가입</x:v>
      </x:c>
    </x:row>
    <x:row r="441" ht="23" customHeight="1">
      <x:c r="A441" s="2" t="str">
        <x:v>C0738</x:v>
      </x:c>
      <x:c r="B441" s="7" t="n">
        <x:v>40</x:v>
      </x:c>
      <x:c r="C441" s="2" t="str">
        <x:f>INT(B441/10)*10&amp;"대"</x:f>
        <x:v>40대</x:v>
      </x:c>
      <x:c r="D441" s="2" t="str">
        <x:v>여성</x:v>
      </x:c>
      <x:c r="E441" s="7" t="n">
        <x:v>6000</x:v>
      </x:c>
      <x:c r="F441" s="7" t="n">
        <x:v>1</x:v>
      </x:c>
      <x:c r="G441" s="2" t="str">
        <x:v>기혼</x:v>
      </x:c>
      <x:c r="H441" s="7" t="n">
        <x:v>2</x:v>
      </x:c>
      <x:c r="I441" s="2" t="str">
        <x:f>IF(H441&lt;3,H441&amp;"명","3명 이상")</x:f>
        <x:v>2명</x:v>
      </x:c>
      <x:c r="J441" s="2" t="str">
        <x:v>흡연</x:v>
      </x:c>
      <x:c r="K441" s="2" t="str">
        <x:v>없음</x:v>
      </x:c>
      <x:c r="L441" s="2" t="str">
        <x:v>없음</x:v>
      </x:c>
      <x:c r="M441" s="2" t="str">
        <x:v>수호천사 암/건강보험</x:v>
      </x:c>
      <x:c r="N441" s="2" t="str">
        <x:f>VLOOKUP(M441,'분류기준'!$A$5:$B$8,2,FALSE)</x:f>
        <x:v>암/건강보험</x:v>
      </x:c>
      <x:c r="O441" s="2" t="str">
        <x:v>수술비 보장 특약</x:v>
      </x:c>
      <x:c r="P441" s="2" t="str">
        <x:f>IF(O441="선택 안함","선택 안함",IF(O441="특약 없음","특약 없음","가입"))</x:f>
        <x:v>가입</x:v>
      </x:c>
      <x:c r="Q441" s="2" t="str">
        <x:f>IF(P441="가입","가입","미가입")</x:f>
        <x:v>가입</x:v>
      </x:c>
    </x:row>
    <x:row r="442" ht="23" customHeight="1">
      <x:c r="A442" s="2" t="str">
        <x:v>C0767</x:v>
      </x:c>
      <x:c r="B442" s="7" t="n">
        <x:v>40</x:v>
      </x:c>
      <x:c r="C442" s="2" t="str">
        <x:f>INT(B442/10)*10&amp;"대"</x:f>
        <x:v>40대</x:v>
      </x:c>
      <x:c r="D442" s="2" t="str">
        <x:v>여성</x:v>
      </x:c>
      <x:c r="E442" s="7" t="n">
        <x:v>5000</x:v>
      </x:c>
      <x:c r="F442" s="7" t="n">
        <x:v>1</x:v>
      </x:c>
      <x:c r="G442" s="2" t="str">
        <x:v>미혼</x:v>
      </x:c>
      <x:c r="H442" s="7" t="n">
        <x:v>0</x:v>
      </x:c>
      <x:c r="I442" s="2" t="str">
        <x:f>IF(H442&lt;3,H442&amp;"명","3명 이상")</x:f>
        <x:v>0명</x:v>
      </x:c>
      <x:c r="J442" s="2" t="str">
        <x:v>비흡연</x:v>
      </x:c>
      <x:c r="K442" s="2" t="str">
        <x:v>고혈압</x:v>
      </x:c>
      <x:c r="L442" s="2" t="str">
        <x:v>없음</x:v>
      </x:c>
      <x:c r="M442" s="2" t="str">
        <x:v>수호천사 간편심사(유병자)보험</x:v>
      </x:c>
      <x:c r="N442" s="2" t="str">
        <x:f>VLOOKUP(M442,'분류기준'!$A$5:$B$8,2,FALSE)</x:f>
        <x:v>간편심사보험</x:v>
      </x:c>
      <x:c r="O442" s="2" t="str">
        <x:v>중증질환 산정특례 보장 특약</x:v>
      </x:c>
      <x:c r="P442" s="2" t="str">
        <x:f>IF(O442="선택 안함","선택 안함",IF(O442="특약 없음","특약 없음","가입"))</x:f>
        <x:v>가입</x:v>
      </x:c>
      <x:c r="Q442" s="2" t="str">
        <x:f>IF(P442="가입","가입","미가입")</x:f>
        <x:v>가입</x:v>
      </x:c>
    </x:row>
    <x:row r="443" ht="23" customHeight="1">
      <x:c r="A443" s="2" t="str">
        <x:v>C0822</x:v>
      </x:c>
      <x:c r="B443" s="7" t="n">
        <x:v>40</x:v>
      </x:c>
      <x:c r="C443" s="2" t="str">
        <x:f>INT(B443/10)*10&amp;"대"</x:f>
        <x:v>40대</x:v>
      </x:c>
      <x:c r="D443" s="2" t="str">
        <x:v>남성</x:v>
      </x:c>
      <x:c r="E443" s="7" t="n">
        <x:v>4000</x:v>
      </x:c>
      <x:c r="F443" s="7" t="n">
        <x:v>3</x:v>
      </x:c>
      <x:c r="G443" s="2" t="str">
        <x:v>기혼</x:v>
      </x:c>
      <x:c r="H443" s="7" t="n">
        <x:v>1</x:v>
      </x:c>
      <x:c r="I443" s="2" t="str">
        <x:f>IF(H443&lt;3,H443&amp;"명","3명 이상")</x:f>
        <x:v>1명</x:v>
      </x:c>
      <x:c r="J443" s="2" t="str">
        <x:v>비흡연</x:v>
      </x:c>
      <x:c r="K443" s="2" t="str">
        <x:v>없음</x:v>
      </x:c>
      <x:c r="L443" s="2" t="str">
        <x:v>암</x:v>
      </x:c>
      <x:c r="M443" s="2" t="str">
        <x:v>수호천사 우리가족 종신보험</x:v>
      </x:c>
      <x:c r="N443" s="2" t="str">
        <x:f>VLOOKUP(M443,'분류기준'!$A$5:$B$8,2,FALSE)</x:f>
        <x:v>종신보험</x:v>
      </x:c>
      <x:c r="O443" s="2" t="str">
        <x:v>가족 수입 보장 특약</x:v>
      </x:c>
      <x:c r="P443" s="2" t="str">
        <x:f>IF(O443="선택 안함","선택 안함",IF(O443="특약 없음","특약 없음","가입"))</x:f>
        <x:v>가입</x:v>
      </x:c>
      <x:c r="Q443" s="2" t="str">
        <x:f>IF(P443="가입","가입","미가입")</x:f>
        <x:v>가입</x:v>
      </x:c>
    </x:row>
    <x:row r="444" ht="23" customHeight="1">
      <x:c r="A444" s="2" t="str">
        <x:v>C0828</x:v>
      </x:c>
      <x:c r="B444" s="7" t="n">
        <x:v>40</x:v>
      </x:c>
      <x:c r="C444" s="2" t="str">
        <x:f>INT(B444/10)*10&amp;"대"</x:f>
        <x:v>40대</x:v>
      </x:c>
      <x:c r="D444" s="2" t="str">
        <x:v>남성</x:v>
      </x:c>
      <x:c r="E444" s="7" t="n">
        <x:v>5000</x:v>
      </x:c>
      <x:c r="F444" s="7" t="n">
        <x:v>1</x:v>
      </x:c>
      <x:c r="G444" s="2" t="str">
        <x:v>기혼</x:v>
      </x:c>
      <x:c r="H444" s="7" t="n">
        <x:v>2</x:v>
      </x:c>
      <x:c r="I444" s="2" t="str">
        <x:f>IF(H444&lt;3,H444&amp;"명","3명 이상")</x:f>
        <x:v>2명</x:v>
      </x:c>
      <x:c r="J444" s="2" t="str">
        <x:v>흡연</x:v>
      </x:c>
      <x:c r="K444" s="2" t="str">
        <x:v>고혈압</x:v>
      </x:c>
      <x:c r="L444" s="2" t="str">
        <x:v>심혈관</x:v>
      </x:c>
      <x:c r="M444" s="2" t="str">
        <x:v>수호천사 간편심사(유병자)보험</x:v>
      </x:c>
      <x:c r="N444" s="2" t="str">
        <x:f>VLOOKUP(M444,'분류기준'!$A$5:$B$8,2,FALSE)</x:f>
        <x:v>간편심사보험</x:v>
      </x:c>
      <x:c r="O444" s="2" t="str">
        <x:v>중증질환 산정특례 보장 특약</x:v>
      </x:c>
      <x:c r="P444" s="2" t="str">
        <x:f>IF(O444="선택 안함","선택 안함",IF(O444="특약 없음","특약 없음","가입"))</x:f>
        <x:v>가입</x:v>
      </x:c>
      <x:c r="Q444" s="2" t="str">
        <x:f>IF(P444="가입","가입","미가입")</x:f>
        <x:v>가입</x:v>
      </x:c>
    </x:row>
    <x:row r="445" ht="23" customHeight="1">
      <x:c r="A445" s="2" t="str">
        <x:v>C0913</x:v>
      </x:c>
      <x:c r="B445" s="7" t="n">
        <x:v>40</x:v>
      </x:c>
      <x:c r="C445" s="2" t="str">
        <x:f>INT(B445/10)*10&amp;"대"</x:f>
        <x:v>40대</x:v>
      </x:c>
      <x:c r="D445" s="2" t="str">
        <x:v>남성</x:v>
      </x:c>
      <x:c r="E445" s="7" t="n">
        <x:v>3000</x:v>
      </x:c>
      <x:c r="F445" s="7" t="n">
        <x:v>1</x:v>
      </x:c>
      <x:c r="G445" s="2" t="str">
        <x:v>기혼</x:v>
      </x:c>
      <x:c r="H445" s="7" t="n">
        <x:v>2</x:v>
      </x:c>
      <x:c r="I445" s="2" t="str">
        <x:f>IF(H445&lt;3,H445&amp;"명","3명 이상")</x:f>
        <x:v>2명</x:v>
      </x:c>
      <x:c r="J445" s="2" t="str">
        <x:v>비흡연</x:v>
      </x:c>
      <x:c r="K445" s="2" t="str">
        <x:v>없음</x:v>
      </x:c>
      <x:c r="L445" s="2" t="str">
        <x:v>심혈관</x:v>
      </x:c>
      <x:c r="M445" s="2" t="str">
        <x:v>수호천사 암/건강보험</x:v>
      </x:c>
      <x:c r="N445" s="2" t="str">
        <x:f>VLOOKUP(M445,'분류기준'!$A$5:$B$8,2,FALSE)</x:f>
        <x:v>암/건강보험</x:v>
      </x:c>
      <x:c r="O445" s="2" t="str">
        <x:v>표적항암약물허가치료 특약</x:v>
      </x:c>
      <x:c r="P445" s="2" t="str">
        <x:f>IF(O445="선택 안함","선택 안함",IF(O445="특약 없음","특약 없음","가입"))</x:f>
        <x:v>가입</x:v>
      </x:c>
      <x:c r="Q445" s="2" t="str">
        <x:f>IF(P445="가입","가입","미가입")</x:f>
        <x:v>가입</x:v>
      </x:c>
    </x:row>
    <x:row r="446" ht="23" customHeight="1">
      <x:c r="A446" s="2" t="str">
        <x:v>C0017</x:v>
      </x:c>
      <x:c r="B446" s="7" t="n">
        <x:v>41</x:v>
      </x:c>
      <x:c r="C446" s="2" t="str">
        <x:f>INT(B446/10)*10&amp;"대"</x:f>
        <x:v>40대</x:v>
      </x:c>
      <x:c r="D446" s="2" t="str">
        <x:v>여성</x:v>
      </x:c>
      <x:c r="E446" s="7" t="n">
        <x:v>5000</x:v>
      </x:c>
      <x:c r="F446" s="7" t="n">
        <x:v>2</x:v>
      </x:c>
      <x:c r="G446" s="2" t="str">
        <x:v>기혼</x:v>
      </x:c>
      <x:c r="H446" s="7" t="n">
        <x:v>1</x:v>
      </x:c>
      <x:c r="I446" s="2" t="str">
        <x:f>IF(H446&lt;3,H446&amp;"명","3명 이상")</x:f>
        <x:v>1명</x:v>
      </x:c>
      <x:c r="J446" s="2" t="str">
        <x:v>비흡연</x:v>
      </x:c>
      <x:c r="K446" s="2" t="str">
        <x:v>없음</x:v>
      </x:c>
      <x:c r="L446" s="2" t="str">
        <x:v>없음</x:v>
      </x:c>
      <x:c r="M446" s="2" t="str">
        <x:v>수호천사 우리가족 종신보험</x:v>
      </x:c>
      <x:c r="N446" s="2" t="str">
        <x:f>VLOOKUP(M446,'분류기준'!$A$5:$B$8,2,FALSE)</x:f>
        <x:v>종신보험</x:v>
      </x:c>
      <x:c r="O446" s="2" t="str">
        <x:v>선택 안함</x:v>
      </x:c>
      <x:c r="P446" s="2" t="str">
        <x:f>IF(O446="선택 안함","선택 안함",IF(O446="특약 없음","특약 없음","가입"))</x:f>
        <x:v>선택 안함</x:v>
      </x:c>
      <x:c r="Q446" s="2" t="str">
        <x:f>IF(P446="가입","가입","미가입")</x:f>
        <x:v>미가입</x:v>
      </x:c>
    </x:row>
    <x:row r="447" ht="23" customHeight="1">
      <x:c r="A447" s="2" t="str">
        <x:v>C0027</x:v>
      </x:c>
      <x:c r="B447" s="7" t="n">
        <x:v>41</x:v>
      </x:c>
      <x:c r="C447" s="2" t="str">
        <x:f>INT(B447/10)*10&amp;"대"</x:f>
        <x:v>40대</x:v>
      </x:c>
      <x:c r="D447" s="2" t="str">
        <x:v>여성</x:v>
      </x:c>
      <x:c r="E447" s="7" t="n">
        <x:v>3000</x:v>
      </x:c>
      <x:c r="F447" s="7" t="n">
        <x:v>3</x:v>
      </x:c>
      <x:c r="G447" s="2" t="str">
        <x:v>미혼</x:v>
      </x:c>
      <x:c r="H447" s="7" t="n">
        <x:v>0</x:v>
      </x:c>
      <x:c r="I447" s="2" t="str">
        <x:f>IF(H447&lt;3,H447&amp;"명","3명 이상")</x:f>
        <x:v>0명</x:v>
      </x:c>
      <x:c r="J447" s="2" t="str">
        <x:v>비흡연</x:v>
      </x:c>
      <x:c r="K447" s="2" t="str">
        <x:v>없음</x:v>
      </x:c>
      <x:c r="L447" s="2" t="str">
        <x:v>없음</x:v>
      </x:c>
      <x:c r="M447" s="2" t="str">
        <x:v>수호천사 간편심사(유병자)보험</x:v>
      </x:c>
      <x:c r="N447" s="2" t="str">
        <x:f>VLOOKUP(M447,'분류기준'!$A$5:$B$8,2,FALSE)</x:f>
        <x:v>간편심사보험</x:v>
      </x:c>
      <x:c r="O447" s="2" t="str">
        <x:v>중증질환 산정특례 보장 특약</x:v>
      </x:c>
      <x:c r="P447" s="2" t="str">
        <x:f>IF(O447="선택 안함","선택 안함",IF(O447="특약 없음","특약 없음","가입"))</x:f>
        <x:v>가입</x:v>
      </x:c>
      <x:c r="Q447" s="2" t="str">
        <x:f>IF(P447="가입","가입","미가입")</x:f>
        <x:v>가입</x:v>
      </x:c>
    </x:row>
    <x:row r="448" ht="23" customHeight="1">
      <x:c r="A448" s="2" t="str">
        <x:v>C0122</x:v>
      </x:c>
      <x:c r="B448" s="7" t="n">
        <x:v>41</x:v>
      </x:c>
      <x:c r="C448" s="2" t="str">
        <x:f>INT(B448/10)*10&amp;"대"</x:f>
        <x:v>40대</x:v>
      </x:c>
      <x:c r="D448" s="2" t="str">
        <x:v>여성</x:v>
      </x:c>
      <x:c r="E448" s="7" t="n">
        <x:v>4000</x:v>
      </x:c>
      <x:c r="F448" s="7" t="n">
        <x:v>1</x:v>
      </x:c>
      <x:c r="G448" s="2" t="str">
        <x:v>기혼</x:v>
      </x:c>
      <x:c r="H448" s="7" t="n">
        <x:v>2</x:v>
      </x:c>
      <x:c r="I448" s="2" t="str">
        <x:f>IF(H448&lt;3,H448&amp;"명","3명 이상")</x:f>
        <x:v>2명</x:v>
      </x:c>
      <x:c r="J448" s="2" t="str">
        <x:v>비흡연</x:v>
      </x:c>
      <x:c r="K448" s="2" t="str">
        <x:v>고혈압</x:v>
      </x:c>
      <x:c r="L448" s="2" t="str">
        <x:v>없음</x:v>
      </x:c>
      <x:c r="M448" s="2" t="str">
        <x:v>수호천사 간편심사(유병자)보험</x:v>
      </x:c>
      <x:c r="N448" s="2" t="str">
        <x:f>VLOOKUP(M448,'분류기준'!$A$5:$B$8,2,FALSE)</x:f>
        <x:v>간편심사보험</x:v>
      </x:c>
      <x:c r="O448" s="2" t="str">
        <x:v>중증질환 산정특례 보장 특약</x:v>
      </x:c>
      <x:c r="P448" s="2" t="str">
        <x:f>IF(O448="선택 안함","선택 안함",IF(O448="특약 없음","특약 없음","가입"))</x:f>
        <x:v>가입</x:v>
      </x:c>
      <x:c r="Q448" s="2" t="str">
        <x:f>IF(P448="가입","가입","미가입")</x:f>
        <x:v>가입</x:v>
      </x:c>
    </x:row>
    <x:row r="449" ht="23" customHeight="1">
      <x:c r="A449" s="2" t="str">
        <x:v>C0158</x:v>
      </x:c>
      <x:c r="B449" s="7" t="n">
        <x:v>41</x:v>
      </x:c>
      <x:c r="C449" s="2" t="str">
        <x:f>INT(B449/10)*10&amp;"대"</x:f>
        <x:v>40대</x:v>
      </x:c>
      <x:c r="D449" s="2" t="str">
        <x:v>남성</x:v>
      </x:c>
      <x:c r="E449" s="7" t="n">
        <x:v>3000</x:v>
      </x:c>
      <x:c r="F449" s="7" t="n">
        <x:v>1</x:v>
      </x:c>
      <x:c r="G449" s="2" t="str">
        <x:v>미혼</x:v>
      </x:c>
      <x:c r="H449" s="7" t="n">
        <x:v>0</x:v>
      </x:c>
      <x:c r="I449" s="2" t="str">
        <x:f>IF(H449&lt;3,H449&amp;"명","3명 이상")</x:f>
        <x:v>0명</x:v>
      </x:c>
      <x:c r="J449" s="2" t="str">
        <x:v>비흡연</x:v>
      </x:c>
      <x:c r="K449" s="2" t="str">
        <x:v>고혈압</x:v>
      </x:c>
      <x:c r="L449" s="2" t="str">
        <x:v>없음</x:v>
      </x:c>
      <x:c r="M449" s="2" t="str">
        <x:v>수호천사 간편심사(유병자)보험</x:v>
      </x:c>
      <x:c r="N449" s="2" t="str">
        <x:f>VLOOKUP(M449,'분류기준'!$A$5:$B$8,2,FALSE)</x:f>
        <x:v>간편심사보험</x:v>
      </x:c>
      <x:c r="O449" s="2" t="str">
        <x:v>중증질환 산정특례 보장 특약</x:v>
      </x:c>
      <x:c r="P449" s="2" t="str">
        <x:f>IF(O449="선택 안함","선택 안함",IF(O449="특약 없음","특약 없음","가입"))</x:f>
        <x:v>가입</x:v>
      </x:c>
      <x:c r="Q449" s="2" t="str">
        <x:f>IF(P449="가입","가입","미가입")</x:f>
        <x:v>가입</x:v>
      </x:c>
    </x:row>
    <x:row r="450" ht="23" customHeight="1">
      <x:c r="A450" s="2" t="str">
        <x:v>C0224</x:v>
      </x:c>
      <x:c r="B450" s="7" t="n">
        <x:v>41</x:v>
      </x:c>
      <x:c r="C450" s="2" t="str">
        <x:f>INT(B450/10)*10&amp;"대"</x:f>
        <x:v>40대</x:v>
      </x:c>
      <x:c r="D450" s="2" t="str">
        <x:v>남성</x:v>
      </x:c>
      <x:c r="E450" s="7" t="n">
        <x:v>4000</x:v>
      </x:c>
      <x:c r="F450" s="7" t="n">
        <x:v>2</x:v>
      </x:c>
      <x:c r="G450" s="2" t="str">
        <x:v>미혼</x:v>
      </x:c>
      <x:c r="H450" s="7" t="n">
        <x:v>0</x:v>
      </x:c>
      <x:c r="I450" s="2" t="str">
        <x:f>IF(H450&lt;3,H450&amp;"명","3명 이상")</x:f>
        <x:v>0명</x:v>
      </x:c>
      <x:c r="J450" s="2" t="str">
        <x:v>비흡연</x:v>
      </x:c>
      <x:c r="K450" s="2" t="str">
        <x:v>없음</x:v>
      </x:c>
      <x:c r="L450" s="2" t="str">
        <x:v>없음</x:v>
      </x:c>
      <x:c r="M450" s="2" t="str">
        <x:v>수호천사 암/건강보험</x:v>
      </x:c>
      <x:c r="N450" s="2" t="str">
        <x:f>VLOOKUP(M450,'분류기준'!$A$5:$B$8,2,FALSE)</x:f>
        <x:v>암/건강보험</x:v>
      </x:c>
      <x:c r="O450" s="2" t="str">
        <x:v>표적항암약물허가치료 특약</x:v>
      </x:c>
      <x:c r="P450" s="2" t="str">
        <x:f>IF(O450="선택 안함","선택 안함",IF(O450="특약 없음","특약 없음","가입"))</x:f>
        <x:v>가입</x:v>
      </x:c>
      <x:c r="Q450" s="2" t="str">
        <x:f>IF(P450="가입","가입","미가입")</x:f>
        <x:v>가입</x:v>
      </x:c>
    </x:row>
    <x:row r="451" ht="23" customHeight="1">
      <x:c r="A451" s="2" t="str">
        <x:v>C0307</x:v>
      </x:c>
      <x:c r="B451" s="7" t="n">
        <x:v>41</x:v>
      </x:c>
      <x:c r="C451" s="2" t="str">
        <x:f>INT(B451/10)*10&amp;"대"</x:f>
        <x:v>40대</x:v>
      </x:c>
      <x:c r="D451" s="2" t="str">
        <x:v>여성</x:v>
      </x:c>
      <x:c r="E451" s="7" t="n">
        <x:v>6000</x:v>
      </x:c>
      <x:c r="F451" s="7" t="n">
        <x:v>1</x:v>
      </x:c>
      <x:c r="G451" s="2" t="str">
        <x:v>기혼</x:v>
      </x:c>
      <x:c r="H451" s="7" t="n">
        <x:v>0</x:v>
      </x:c>
      <x:c r="I451" s="2" t="str">
        <x:f>IF(H451&lt;3,H451&amp;"명","3명 이상")</x:f>
        <x:v>0명</x:v>
      </x:c>
      <x:c r="J451" s="2" t="str">
        <x:v>비흡연</x:v>
      </x:c>
      <x:c r="K451" s="2" t="str">
        <x:v>고혈압</x:v>
      </x:c>
      <x:c r="L451" s="2" t="str">
        <x:v>없음</x:v>
      </x:c>
      <x:c r="M451" s="2" t="str">
        <x:v>수호천사 행복 연금보험</x:v>
      </x:c>
      <x:c r="N451" s="2" t="str">
        <x:f>VLOOKUP(M451,'분류기준'!$A$5:$B$8,2,FALSE)</x:f>
        <x:v>연금보험</x:v>
      </x:c>
      <x:c r="O451" s="2" t="str">
        <x:v>특약 없음</x:v>
      </x:c>
      <x:c r="P451" s="2" t="str">
        <x:f>IF(O451="선택 안함","선택 안함",IF(O451="특약 없음","특약 없음","가입"))</x:f>
        <x:v>특약 없음</x:v>
      </x:c>
      <x:c r="Q451" s="2" t="str">
        <x:f>IF(P451="가입","가입","미가입")</x:f>
        <x:v>미가입</x:v>
      </x:c>
    </x:row>
    <x:row r="452" ht="23" customHeight="1">
      <x:c r="A452" s="2" t="str">
        <x:v>C0308</x:v>
      </x:c>
      <x:c r="B452" s="7" t="n">
        <x:v>41</x:v>
      </x:c>
      <x:c r="C452" s="2" t="str">
        <x:f>INT(B452/10)*10&amp;"대"</x:f>
        <x:v>40대</x:v>
      </x:c>
      <x:c r="D452" s="2" t="str">
        <x:v>여성</x:v>
      </x:c>
      <x:c r="E452" s="7" t="n">
        <x:v>3000</x:v>
      </x:c>
      <x:c r="F452" s="7" t="n">
        <x:v>2</x:v>
      </x:c>
      <x:c r="G452" s="2" t="str">
        <x:v>기혼</x:v>
      </x:c>
      <x:c r="H452" s="7" t="n">
        <x:v>3</x:v>
      </x:c>
      <x:c r="I452" s="2" t="str">
        <x:f>IF(H452&lt;3,H452&amp;"명","3명 이상")</x:f>
        <x:v>3명 이상</x:v>
      </x:c>
      <x:c r="J452" s="2" t="str">
        <x:v>흡연</x:v>
      </x:c>
      <x:c r="K452" s="2" t="str">
        <x:v>없음</x:v>
      </x:c>
      <x:c r="L452" s="2" t="str">
        <x:v>없음</x:v>
      </x:c>
      <x:c r="M452" s="2" t="str">
        <x:v>수호천사 암/건강보험</x:v>
      </x:c>
      <x:c r="N452" s="2" t="str">
        <x:f>VLOOKUP(M452,'분류기준'!$A$5:$B$8,2,FALSE)</x:f>
        <x:v>암/건강보험</x:v>
      </x:c>
      <x:c r="O452" s="2" t="str">
        <x:v>표적항암약물허가치료 특약</x:v>
      </x:c>
      <x:c r="P452" s="2" t="str">
        <x:f>IF(O452="선택 안함","선택 안함",IF(O452="특약 없음","특약 없음","가입"))</x:f>
        <x:v>가입</x:v>
      </x:c>
      <x:c r="Q452" s="2" t="str">
        <x:f>IF(P452="가입","가입","미가입")</x:f>
        <x:v>가입</x:v>
      </x:c>
    </x:row>
    <x:row r="453" ht="23" customHeight="1">
      <x:c r="A453" s="2" t="str">
        <x:v>C0357</x:v>
      </x:c>
      <x:c r="B453" s="7" t="n">
        <x:v>41</x:v>
      </x:c>
      <x:c r="C453" s="2" t="str">
        <x:f>INT(B453/10)*10&amp;"대"</x:f>
        <x:v>40대</x:v>
      </x:c>
      <x:c r="D453" s="2" t="str">
        <x:v>여성</x:v>
      </x:c>
      <x:c r="E453" s="7" t="n">
        <x:v>5000</x:v>
      </x:c>
      <x:c r="F453" s="7" t="n">
        <x:v>1</x:v>
      </x:c>
      <x:c r="G453" s="2" t="str">
        <x:v>기혼</x:v>
      </x:c>
      <x:c r="H453" s="7" t="n">
        <x:v>1</x:v>
      </x:c>
      <x:c r="I453" s="2" t="str">
        <x:f>IF(H453&lt;3,H453&amp;"명","3명 이상")</x:f>
        <x:v>1명</x:v>
      </x:c>
      <x:c r="J453" s="2" t="str">
        <x:v>비흡연</x:v>
      </x:c>
      <x:c r="K453" s="2" t="str">
        <x:v>고혈압</x:v>
      </x:c>
      <x:c r="L453" s="2" t="str">
        <x:v>암</x:v>
      </x:c>
      <x:c r="M453" s="2" t="str">
        <x:v>수호천사 암/건강보험</x:v>
      </x:c>
      <x:c r="N453" s="2" t="str">
        <x:f>VLOOKUP(M453,'분류기준'!$A$5:$B$8,2,FALSE)</x:f>
        <x:v>암/건강보험</x:v>
      </x:c>
      <x:c r="O453" s="2" t="str">
        <x:v>표적항암약물허가치료 특약</x:v>
      </x:c>
      <x:c r="P453" s="2" t="str">
        <x:f>IF(O453="선택 안함","선택 안함",IF(O453="특약 없음","특약 없음","가입"))</x:f>
        <x:v>가입</x:v>
      </x:c>
      <x:c r="Q453" s="2" t="str">
        <x:f>IF(P453="가입","가입","미가입")</x:f>
        <x:v>가입</x:v>
      </x:c>
    </x:row>
    <x:row r="454" ht="23" customHeight="1">
      <x:c r="A454" s="2" t="str">
        <x:v>C0394</x:v>
      </x:c>
      <x:c r="B454" s="7" t="n">
        <x:v>41</x:v>
      </x:c>
      <x:c r="C454" s="2" t="str">
        <x:f>INT(B454/10)*10&amp;"대"</x:f>
        <x:v>40대</x:v>
      </x:c>
      <x:c r="D454" s="2" t="str">
        <x:v>남성</x:v>
      </x:c>
      <x:c r="E454" s="7" t="n">
        <x:v>6000</x:v>
      </x:c>
      <x:c r="F454" s="7" t="n">
        <x:v>3</x:v>
      </x:c>
      <x:c r="G454" s="2" t="str">
        <x:v>기혼</x:v>
      </x:c>
      <x:c r="H454" s="7" t="n">
        <x:v>1</x:v>
      </x:c>
      <x:c r="I454" s="2" t="str">
        <x:f>IF(H454&lt;3,H454&amp;"명","3명 이상")</x:f>
        <x:v>1명</x:v>
      </x:c>
      <x:c r="J454" s="2" t="str">
        <x:v>흡연</x:v>
      </x:c>
      <x:c r="K454" s="2" t="str">
        <x:v>당뇨</x:v>
      </x:c>
      <x:c r="L454" s="2" t="str">
        <x:v>없음</x:v>
      </x:c>
      <x:c r="M454" s="2" t="str">
        <x:v>수호천사 간편심사(유병자)보험</x:v>
      </x:c>
      <x:c r="N454" s="2" t="str">
        <x:f>VLOOKUP(M454,'분류기준'!$A$5:$B$8,2,FALSE)</x:f>
        <x:v>간편심사보험</x:v>
      </x:c>
      <x:c r="O454" s="2" t="str">
        <x:v>중증질환 산정특례 보장 특약</x:v>
      </x:c>
      <x:c r="P454" s="2" t="str">
        <x:f>IF(O454="선택 안함","선택 안함",IF(O454="특약 없음","특약 없음","가입"))</x:f>
        <x:v>가입</x:v>
      </x:c>
      <x:c r="Q454" s="2" t="str">
        <x:f>IF(P454="가입","가입","미가입")</x:f>
        <x:v>가입</x:v>
      </x:c>
    </x:row>
    <x:row r="455" ht="23" customHeight="1">
      <x:c r="A455" s="2" t="str">
        <x:v>C0396</x:v>
      </x:c>
      <x:c r="B455" s="7" t="n">
        <x:v>41</x:v>
      </x:c>
      <x:c r="C455" s="2" t="str">
        <x:f>INT(B455/10)*10&amp;"대"</x:f>
        <x:v>40대</x:v>
      </x:c>
      <x:c r="D455" s="2" t="str">
        <x:v>남성</x:v>
      </x:c>
      <x:c r="E455" s="7" t="n">
        <x:v>7500</x:v>
      </x:c>
      <x:c r="F455" s="7" t="n">
        <x:v>1</x:v>
      </x:c>
      <x:c r="G455" s="2" t="str">
        <x:v>미혼</x:v>
      </x:c>
      <x:c r="H455" s="7" t="n">
        <x:v>0</x:v>
      </x:c>
      <x:c r="I455" s="2" t="str">
        <x:f>IF(H455&lt;3,H455&amp;"명","3명 이상")</x:f>
        <x:v>0명</x:v>
      </x:c>
      <x:c r="J455" s="2" t="str">
        <x:v>흡연</x:v>
      </x:c>
      <x:c r="K455" s="2" t="str">
        <x:v>없음</x:v>
      </x:c>
      <x:c r="L455" s="2" t="str">
        <x:v>없음</x:v>
      </x:c>
      <x:c r="M455" s="2" t="str">
        <x:v>수호천사 행복 연금보험</x:v>
      </x:c>
      <x:c r="N455" s="2" t="str">
        <x:f>VLOOKUP(M455,'분류기준'!$A$5:$B$8,2,FALSE)</x:f>
        <x:v>연금보험</x:v>
      </x:c>
      <x:c r="O455" s="2" t="str">
        <x:v>특약 없음</x:v>
      </x:c>
      <x:c r="P455" s="2" t="str">
        <x:f>IF(O455="선택 안함","선택 안함",IF(O455="특약 없음","특약 없음","가입"))</x:f>
        <x:v>특약 없음</x:v>
      </x:c>
      <x:c r="Q455" s="2" t="str">
        <x:f>IF(P455="가입","가입","미가입")</x:f>
        <x:v>미가입</x:v>
      </x:c>
    </x:row>
    <x:row r="456" ht="23" customHeight="1">
      <x:c r="A456" s="2" t="str">
        <x:v>C0397</x:v>
      </x:c>
      <x:c r="B456" s="7" t="n">
        <x:v>41</x:v>
      </x:c>
      <x:c r="C456" s="2" t="str">
        <x:f>INT(B456/10)*10&amp;"대"</x:f>
        <x:v>40대</x:v>
      </x:c>
      <x:c r="D456" s="2" t="str">
        <x:v>남성</x:v>
      </x:c>
      <x:c r="E456" s="7" t="n">
        <x:v>3000</x:v>
      </x:c>
      <x:c r="F456" s="7" t="n">
        <x:v>1</x:v>
      </x:c>
      <x:c r="G456" s="2" t="str">
        <x:v>미혼</x:v>
      </x:c>
      <x:c r="H456" s="7" t="n">
        <x:v>0</x:v>
      </x:c>
      <x:c r="I456" s="2" t="str">
        <x:f>IF(H456&lt;3,H456&amp;"명","3명 이상")</x:f>
        <x:v>0명</x:v>
      </x:c>
      <x:c r="J456" s="2" t="str">
        <x:v>비흡연</x:v>
      </x:c>
      <x:c r="K456" s="2" t="str">
        <x:v>없음</x:v>
      </x:c>
      <x:c r="L456" s="2" t="str">
        <x:v>없음</x:v>
      </x:c>
      <x:c r="M456" s="2" t="str">
        <x:v>수호천사 우리가족 종신보험</x:v>
      </x:c>
      <x:c r="N456" s="2" t="str">
        <x:f>VLOOKUP(M456,'분류기준'!$A$5:$B$8,2,FALSE)</x:f>
        <x:v>종신보험</x:v>
      </x:c>
      <x:c r="O456" s="2" t="str">
        <x:v>선택 안함</x:v>
      </x:c>
      <x:c r="P456" s="2" t="str">
        <x:f>IF(O456="선택 안함","선택 안함",IF(O456="특약 없음","특약 없음","가입"))</x:f>
        <x:v>선택 안함</x:v>
      </x:c>
      <x:c r="Q456" s="2" t="str">
        <x:f>IF(P456="가입","가입","미가입")</x:f>
        <x:v>미가입</x:v>
      </x:c>
    </x:row>
    <x:row r="457" ht="23" customHeight="1">
      <x:c r="A457" s="2" t="str">
        <x:v>C0441</x:v>
      </x:c>
      <x:c r="B457" s="7" t="n">
        <x:v>41</x:v>
      </x:c>
      <x:c r="C457" s="2" t="str">
        <x:f>INT(B457/10)*10&amp;"대"</x:f>
        <x:v>40대</x:v>
      </x:c>
      <x:c r="D457" s="2" t="str">
        <x:v>여성</x:v>
      </x:c>
      <x:c r="E457" s="7" t="n">
        <x:v>7500</x:v>
      </x:c>
      <x:c r="F457" s="7" t="n">
        <x:v>1</x:v>
      </x:c>
      <x:c r="G457" s="2" t="str">
        <x:v>기혼</x:v>
      </x:c>
      <x:c r="H457" s="7" t="n">
        <x:v>2</x:v>
      </x:c>
      <x:c r="I457" s="2" t="str">
        <x:f>IF(H457&lt;3,H457&amp;"명","3명 이상")</x:f>
        <x:v>2명</x:v>
      </x:c>
      <x:c r="J457" s="2" t="str">
        <x:v>비흡연</x:v>
      </x:c>
      <x:c r="K457" s="2" t="str">
        <x:v>없음</x:v>
      </x:c>
      <x:c r="L457" s="2" t="str">
        <x:v>없음</x:v>
      </x:c>
      <x:c r="M457" s="2" t="str">
        <x:v>수호천사 간편심사(유병자)보험</x:v>
      </x:c>
      <x:c r="N457" s="2" t="str">
        <x:f>VLOOKUP(M457,'분류기준'!$A$5:$B$8,2,FALSE)</x:f>
        <x:v>간편심사보험</x:v>
      </x:c>
      <x:c r="O457" s="2" t="str">
        <x:v>중증질환 산정특례 보장 특약</x:v>
      </x:c>
      <x:c r="P457" s="2" t="str">
        <x:f>IF(O457="선택 안함","선택 안함",IF(O457="특약 없음","특약 없음","가입"))</x:f>
        <x:v>가입</x:v>
      </x:c>
      <x:c r="Q457" s="2" t="str">
        <x:f>IF(P457="가입","가입","미가입")</x:f>
        <x:v>가입</x:v>
      </x:c>
    </x:row>
    <x:row r="458" ht="23" customHeight="1">
      <x:c r="A458" s="2" t="str">
        <x:v>C0448</x:v>
      </x:c>
      <x:c r="B458" s="7" t="n">
        <x:v>41</x:v>
      </x:c>
      <x:c r="C458" s="2" t="str">
        <x:f>INT(B458/10)*10&amp;"대"</x:f>
        <x:v>40대</x:v>
      </x:c>
      <x:c r="D458" s="2" t="str">
        <x:v>남성</x:v>
      </x:c>
      <x:c r="E458" s="7" t="n">
        <x:v>3000</x:v>
      </x:c>
      <x:c r="F458" s="7" t="n">
        <x:v>1</x:v>
      </x:c>
      <x:c r="G458" s="2" t="str">
        <x:v>기혼</x:v>
      </x:c>
      <x:c r="H458" s="7" t="n">
        <x:v>2</x:v>
      </x:c>
      <x:c r="I458" s="2" t="str">
        <x:f>IF(H458&lt;3,H458&amp;"명","3명 이상")</x:f>
        <x:v>2명</x:v>
      </x:c>
      <x:c r="J458" s="2" t="str">
        <x:v>비흡연</x:v>
      </x:c>
      <x:c r="K458" s="2" t="str">
        <x:v>없음</x:v>
      </x:c>
      <x:c r="L458" s="2" t="str">
        <x:v>심혈관</x:v>
      </x:c>
      <x:c r="M458" s="2" t="str">
        <x:v>수호천사 간편심사(유병자)보험</x:v>
      </x:c>
      <x:c r="N458" s="2" t="str">
        <x:f>VLOOKUP(M458,'분류기준'!$A$5:$B$8,2,FALSE)</x:f>
        <x:v>간편심사보험</x:v>
      </x:c>
      <x:c r="O458" s="2" t="str">
        <x:v>중증질환 산정특례 보장 특약</x:v>
      </x:c>
      <x:c r="P458" s="2" t="str">
        <x:f>IF(O458="선택 안함","선택 안함",IF(O458="특약 없음","특약 없음","가입"))</x:f>
        <x:v>가입</x:v>
      </x:c>
      <x:c r="Q458" s="2" t="str">
        <x:f>IF(P458="가입","가입","미가입")</x:f>
        <x:v>가입</x:v>
      </x:c>
    </x:row>
    <x:row r="459" ht="23" customHeight="1">
      <x:c r="A459" s="2" t="str">
        <x:v>C0552</x:v>
      </x:c>
      <x:c r="B459" s="7" t="n">
        <x:v>41</x:v>
      </x:c>
      <x:c r="C459" s="2" t="str">
        <x:f>INT(B459/10)*10&amp;"대"</x:f>
        <x:v>40대</x:v>
      </x:c>
      <x:c r="D459" s="2" t="str">
        <x:v>여성</x:v>
      </x:c>
      <x:c r="E459" s="7" t="n">
        <x:v>4000</x:v>
      </x:c>
      <x:c r="F459" s="7" t="n">
        <x:v>1</x:v>
      </x:c>
      <x:c r="G459" s="2" t="str">
        <x:v>기혼</x:v>
      </x:c>
      <x:c r="H459" s="7" t="n">
        <x:v>1</x:v>
      </x:c>
      <x:c r="I459" s="2" t="str">
        <x:f>IF(H459&lt;3,H459&amp;"명","3명 이상")</x:f>
        <x:v>1명</x:v>
      </x:c>
      <x:c r="J459" s="2" t="str">
        <x:v>흡연</x:v>
      </x:c>
      <x:c r="K459" s="2" t="str">
        <x:v>당뇨</x:v>
      </x:c>
      <x:c r="L459" s="2" t="str">
        <x:v>없음</x:v>
      </x:c>
      <x:c r="M459" s="2" t="str">
        <x:v>수호천사 간편심사(유병자)보험</x:v>
      </x:c>
      <x:c r="N459" s="2" t="str">
        <x:f>VLOOKUP(M459,'분류기준'!$A$5:$B$8,2,FALSE)</x:f>
        <x:v>간편심사보험</x:v>
      </x:c>
      <x:c r="O459" s="2" t="str">
        <x:v>선택 안함</x:v>
      </x:c>
      <x:c r="P459" s="2" t="str">
        <x:f>IF(O459="선택 안함","선택 안함",IF(O459="특약 없음","특약 없음","가입"))</x:f>
        <x:v>선택 안함</x:v>
      </x:c>
      <x:c r="Q459" s="2" t="str">
        <x:f>IF(P459="가입","가입","미가입")</x:f>
        <x:v>미가입</x:v>
      </x:c>
    </x:row>
    <x:row r="460" ht="23" customHeight="1">
      <x:c r="A460" s="2" t="str">
        <x:v>C0610</x:v>
      </x:c>
      <x:c r="B460" s="7" t="n">
        <x:v>41</x:v>
      </x:c>
      <x:c r="C460" s="2" t="str">
        <x:f>INT(B460/10)*10&amp;"대"</x:f>
        <x:v>40대</x:v>
      </x:c>
      <x:c r="D460" s="2" t="str">
        <x:v>남성</x:v>
      </x:c>
      <x:c r="E460" s="7" t="n">
        <x:v>7500</x:v>
      </x:c>
      <x:c r="F460" s="7" t="n">
        <x:v>1</x:v>
      </x:c>
      <x:c r="G460" s="2" t="str">
        <x:v>기혼</x:v>
      </x:c>
      <x:c r="H460" s="7" t="n">
        <x:v>1</x:v>
      </x:c>
      <x:c r="I460" s="2" t="str">
        <x:f>IF(H460&lt;3,H460&amp;"명","3명 이상")</x:f>
        <x:v>1명</x:v>
      </x:c>
      <x:c r="J460" s="2" t="str">
        <x:v>비흡연</x:v>
      </x:c>
      <x:c r="K460" s="2" t="str">
        <x:v>없음</x:v>
      </x:c>
      <x:c r="L460" s="2" t="str">
        <x:v>없음</x:v>
      </x:c>
      <x:c r="M460" s="2" t="str">
        <x:v>수호천사 암/건강보험</x:v>
      </x:c>
      <x:c r="N460" s="2" t="str">
        <x:f>VLOOKUP(M460,'분류기준'!$A$5:$B$8,2,FALSE)</x:f>
        <x:v>암/건강보험</x:v>
      </x:c>
      <x:c r="O460" s="2" t="str">
        <x:v>표적항암약물허가치료 특약</x:v>
      </x:c>
      <x:c r="P460" s="2" t="str">
        <x:f>IF(O460="선택 안함","선택 안함",IF(O460="특약 없음","특약 없음","가입"))</x:f>
        <x:v>가입</x:v>
      </x:c>
      <x:c r="Q460" s="2" t="str">
        <x:f>IF(P460="가입","가입","미가입")</x:f>
        <x:v>가입</x:v>
      </x:c>
    </x:row>
    <x:row r="461" ht="23" customHeight="1">
      <x:c r="A461" s="2" t="str">
        <x:v>C0714</x:v>
      </x:c>
      <x:c r="B461" s="7" t="n">
        <x:v>41</x:v>
      </x:c>
      <x:c r="C461" s="2" t="str">
        <x:f>INT(B461/10)*10&amp;"대"</x:f>
        <x:v>40대</x:v>
      </x:c>
      <x:c r="D461" s="2" t="str">
        <x:v>남성</x:v>
      </x:c>
      <x:c r="E461" s="7" t="n">
        <x:v>12000</x:v>
      </x:c>
      <x:c r="F461" s="7" t="n">
        <x:v>1</x:v>
      </x:c>
      <x:c r="G461" s="2" t="str">
        <x:v>미혼</x:v>
      </x:c>
      <x:c r="H461" s="7" t="n">
        <x:v>0</x:v>
      </x:c>
      <x:c r="I461" s="2" t="str">
        <x:f>IF(H461&lt;3,H461&amp;"명","3명 이상")</x:f>
        <x:v>0명</x:v>
      </x:c>
      <x:c r="J461" s="2" t="str">
        <x:v>비흡연</x:v>
      </x:c>
      <x:c r="K461" s="2" t="str">
        <x:v>없음</x:v>
      </x:c>
      <x:c r="L461" s="2" t="str">
        <x:v>심혈관</x:v>
      </x:c>
      <x:c r="M461" s="2" t="str">
        <x:v>수호천사 암/건강보험</x:v>
      </x:c>
      <x:c r="N461" s="2" t="str">
        <x:f>VLOOKUP(M461,'분류기준'!$A$5:$B$8,2,FALSE)</x:f>
        <x:v>암/건강보험</x:v>
      </x:c>
      <x:c r="O461" s="2" t="str">
        <x:v>표적항암약물허가치료 특약</x:v>
      </x:c>
      <x:c r="P461" s="2" t="str">
        <x:f>IF(O461="선택 안함","선택 안함",IF(O461="특약 없음","특약 없음","가입"))</x:f>
        <x:v>가입</x:v>
      </x:c>
      <x:c r="Q461" s="2" t="str">
        <x:f>IF(P461="가입","가입","미가입")</x:f>
        <x:v>가입</x:v>
      </x:c>
    </x:row>
    <x:row r="462" ht="23" customHeight="1">
      <x:c r="A462" s="2" t="str">
        <x:v>C0827</x:v>
      </x:c>
      <x:c r="B462" s="7" t="n">
        <x:v>41</x:v>
      </x:c>
      <x:c r="C462" s="2" t="str">
        <x:f>INT(B462/10)*10&amp;"대"</x:f>
        <x:v>40대</x:v>
      </x:c>
      <x:c r="D462" s="2" t="str">
        <x:v>남성</x:v>
      </x:c>
      <x:c r="E462" s="7" t="n">
        <x:v>4000</x:v>
      </x:c>
      <x:c r="F462" s="7" t="n">
        <x:v>1</x:v>
      </x:c>
      <x:c r="G462" s="2" t="str">
        <x:v>기혼</x:v>
      </x:c>
      <x:c r="H462" s="7" t="n">
        <x:v>1</x:v>
      </x:c>
      <x:c r="I462" s="2" t="str">
        <x:f>IF(H462&lt;3,H462&amp;"명","3명 이상")</x:f>
        <x:v>1명</x:v>
      </x:c>
      <x:c r="J462" s="2" t="str">
        <x:v>비흡연</x:v>
      </x:c>
      <x:c r="K462" s="2" t="str">
        <x:v>고혈압</x:v>
      </x:c>
      <x:c r="L462" s="2" t="str">
        <x:v>없음</x:v>
      </x:c>
      <x:c r="M462" s="2" t="str">
        <x:v>수호천사 간편심사(유병자)보험</x:v>
      </x:c>
      <x:c r="N462" s="2" t="str">
        <x:f>VLOOKUP(M462,'분류기준'!$A$5:$B$8,2,FALSE)</x:f>
        <x:v>간편심사보험</x:v>
      </x:c>
      <x:c r="O462" s="2" t="str">
        <x:v>중증질환 산정특례 보장 특약</x:v>
      </x:c>
      <x:c r="P462" s="2" t="str">
        <x:f>IF(O462="선택 안함","선택 안함",IF(O462="특약 없음","특약 없음","가입"))</x:f>
        <x:v>가입</x:v>
      </x:c>
      <x:c r="Q462" s="2" t="str">
        <x:f>IF(P462="가입","가입","미가입")</x:f>
        <x:v>가입</x:v>
      </x:c>
    </x:row>
    <x:row r="463" ht="23" customHeight="1">
      <x:c r="A463" s="2" t="str">
        <x:v>C0843</x:v>
      </x:c>
      <x:c r="B463" s="7" t="n">
        <x:v>41</x:v>
      </x:c>
      <x:c r="C463" s="2" t="str">
        <x:f>INT(B463/10)*10&amp;"대"</x:f>
        <x:v>40대</x:v>
      </x:c>
      <x:c r="D463" s="2" t="str">
        <x:v>여성</x:v>
      </x:c>
      <x:c r="E463" s="7" t="n">
        <x:v>4000</x:v>
      </x:c>
      <x:c r="F463" s="7" t="n">
        <x:v>1</x:v>
      </x:c>
      <x:c r="G463" s="2" t="str">
        <x:v>기혼</x:v>
      </x:c>
      <x:c r="H463" s="7" t="n">
        <x:v>1</x:v>
      </x:c>
      <x:c r="I463" s="2" t="str">
        <x:f>IF(H463&lt;3,H463&amp;"명","3명 이상")</x:f>
        <x:v>1명</x:v>
      </x:c>
      <x:c r="J463" s="2" t="str">
        <x:v>비흡연</x:v>
      </x:c>
      <x:c r="K463" s="2" t="str">
        <x:v>없음</x:v>
      </x:c>
      <x:c r="L463" s="2" t="str">
        <x:v>없음</x:v>
      </x:c>
      <x:c r="M463" s="2" t="str">
        <x:v>수호천사 우리가족 종신보험</x:v>
      </x:c>
      <x:c r="N463" s="2" t="str">
        <x:f>VLOOKUP(M463,'분류기준'!$A$5:$B$8,2,FALSE)</x:f>
        <x:v>종신보험</x:v>
      </x:c>
      <x:c r="O463" s="2" t="str">
        <x:v>가족 수입 보장 특약</x:v>
      </x:c>
      <x:c r="P463" s="2" t="str">
        <x:f>IF(O463="선택 안함","선택 안함",IF(O463="특약 없음","특약 없음","가입"))</x:f>
        <x:v>가입</x:v>
      </x:c>
      <x:c r="Q463" s="2" t="str">
        <x:f>IF(P463="가입","가입","미가입")</x:f>
        <x:v>가입</x:v>
      </x:c>
    </x:row>
    <x:row r="464" ht="23" customHeight="1">
      <x:c r="A464" s="2" t="str">
        <x:v>C0853</x:v>
      </x:c>
      <x:c r="B464" s="7" t="n">
        <x:v>41</x:v>
      </x:c>
      <x:c r="C464" s="2" t="str">
        <x:f>INT(B464/10)*10&amp;"대"</x:f>
        <x:v>40대</x:v>
      </x:c>
      <x:c r="D464" s="2" t="str">
        <x:v>남성</x:v>
      </x:c>
      <x:c r="E464" s="7" t="n">
        <x:v>4000</x:v>
      </x:c>
      <x:c r="F464" s="7" t="n">
        <x:v>1</x:v>
      </x:c>
      <x:c r="G464" s="2" t="str">
        <x:v>미혼</x:v>
      </x:c>
      <x:c r="H464" s="7" t="n">
        <x:v>0</x:v>
      </x:c>
      <x:c r="I464" s="2" t="str">
        <x:f>IF(H464&lt;3,H464&amp;"명","3명 이상")</x:f>
        <x:v>0명</x:v>
      </x:c>
      <x:c r="J464" s="2" t="str">
        <x:v>비흡연</x:v>
      </x:c>
      <x:c r="K464" s="2" t="str">
        <x:v>없음</x:v>
      </x:c>
      <x:c r="L464" s="2" t="str">
        <x:v>암</x:v>
      </x:c>
      <x:c r="M464" s="2" t="str">
        <x:v>수호천사 암/건강보험</x:v>
      </x:c>
      <x:c r="N464" s="2" t="str">
        <x:f>VLOOKUP(M464,'분류기준'!$A$5:$B$8,2,FALSE)</x:f>
        <x:v>암/건강보험</x:v>
      </x:c>
      <x:c r="O464" s="2" t="str">
        <x:v>선택 안함</x:v>
      </x:c>
      <x:c r="P464" s="2" t="str">
        <x:f>IF(O464="선택 안함","선택 안함",IF(O464="특약 없음","특약 없음","가입"))</x:f>
        <x:v>선택 안함</x:v>
      </x:c>
      <x:c r="Q464" s="2" t="str">
        <x:f>IF(P464="가입","가입","미가입")</x:f>
        <x:v>미가입</x:v>
      </x:c>
    </x:row>
    <x:row r="465" ht="23" customHeight="1">
      <x:c r="A465" s="2" t="str">
        <x:v>C0881</x:v>
      </x:c>
      <x:c r="B465" s="7" t="n">
        <x:v>41</x:v>
      </x:c>
      <x:c r="C465" s="2" t="str">
        <x:f>INT(B465/10)*10&amp;"대"</x:f>
        <x:v>40대</x:v>
      </x:c>
      <x:c r="D465" s="2" t="str">
        <x:v>여성</x:v>
      </x:c>
      <x:c r="E465" s="7" t="n">
        <x:v>3000</x:v>
      </x:c>
      <x:c r="F465" s="7" t="n">
        <x:v>2</x:v>
      </x:c>
      <x:c r="G465" s="2" t="str">
        <x:v>기혼</x:v>
      </x:c>
      <x:c r="H465" s="7" t="n">
        <x:v>3</x:v>
      </x:c>
      <x:c r="I465" s="2" t="str">
        <x:f>IF(H465&lt;3,H465&amp;"명","3명 이상")</x:f>
        <x:v>3명 이상</x:v>
      </x:c>
      <x:c r="J465" s="2" t="str">
        <x:v>흡연</x:v>
      </x:c>
      <x:c r="K465" s="2" t="str">
        <x:v>없음</x:v>
      </x:c>
      <x:c r="L465" s="2" t="str">
        <x:v>없음</x:v>
      </x:c>
      <x:c r="M465" s="2" t="str">
        <x:v>수호천사 우리가족 종신보험</x:v>
      </x:c>
      <x:c r="N465" s="2" t="str">
        <x:f>VLOOKUP(M465,'분류기준'!$A$5:$B$8,2,FALSE)</x:f>
        <x:v>종신보험</x:v>
      </x:c>
      <x:c r="O465" s="2" t="str">
        <x:v>가족 수입 보장 특약</x:v>
      </x:c>
      <x:c r="P465" s="2" t="str">
        <x:f>IF(O465="선택 안함","선택 안함",IF(O465="특약 없음","특약 없음","가입"))</x:f>
        <x:v>가입</x:v>
      </x:c>
      <x:c r="Q465" s="2" t="str">
        <x:f>IF(P465="가입","가입","미가입")</x:f>
        <x:v>가입</x:v>
      </x:c>
    </x:row>
    <x:row r="466" ht="23" customHeight="1">
      <x:c r="A466" s="2" t="str">
        <x:v>C0896</x:v>
      </x:c>
      <x:c r="B466" s="7" t="n">
        <x:v>41</x:v>
      </x:c>
      <x:c r="C466" s="2" t="str">
        <x:f>INT(B466/10)*10&amp;"대"</x:f>
        <x:v>40대</x:v>
      </x:c>
      <x:c r="D466" s="2" t="str">
        <x:v>여성</x:v>
      </x:c>
      <x:c r="E466" s="7" t="n">
        <x:v>7500</x:v>
      </x:c>
      <x:c r="F466" s="7" t="n">
        <x:v>1</x:v>
      </x:c>
      <x:c r="G466" s="2" t="str">
        <x:v>미혼</x:v>
      </x:c>
      <x:c r="H466" s="7" t="n">
        <x:v>0</x:v>
      </x:c>
      <x:c r="I466" s="2" t="str">
        <x:f>IF(H466&lt;3,H466&amp;"명","3명 이상")</x:f>
        <x:v>0명</x:v>
      </x:c>
      <x:c r="J466" s="2" t="str">
        <x:v>비흡연</x:v>
      </x:c>
      <x:c r="K466" s="2" t="str">
        <x:v>없음</x:v>
      </x:c>
      <x:c r="L466" s="2" t="str">
        <x:v>없음</x:v>
      </x:c>
      <x:c r="M466" s="2" t="str">
        <x:v>수호천사 행복 연금보험</x:v>
      </x:c>
      <x:c r="N466" s="2" t="str">
        <x:f>VLOOKUP(M466,'분류기준'!$A$5:$B$8,2,FALSE)</x:f>
        <x:v>연금보험</x:v>
      </x:c>
      <x:c r="O466" s="2" t="str">
        <x:v>특약 없음</x:v>
      </x:c>
      <x:c r="P466" s="2" t="str">
        <x:f>IF(O466="선택 안함","선택 안함",IF(O466="특약 없음","특약 없음","가입"))</x:f>
        <x:v>특약 없음</x:v>
      </x:c>
      <x:c r="Q466" s="2" t="str">
        <x:f>IF(P466="가입","가입","미가입")</x:f>
        <x:v>미가입</x:v>
      </x:c>
    </x:row>
    <x:row r="467" ht="23" customHeight="1">
      <x:c r="A467" s="2" t="str">
        <x:v>C0912</x:v>
      </x:c>
      <x:c r="B467" s="7" t="n">
        <x:v>41</x:v>
      </x:c>
      <x:c r="C467" s="2" t="str">
        <x:f>INT(B467/10)*10&amp;"대"</x:f>
        <x:v>40대</x:v>
      </x:c>
      <x:c r="D467" s="2" t="str">
        <x:v>남성</x:v>
      </x:c>
      <x:c r="E467" s="7" t="n">
        <x:v>7500</x:v>
      </x:c>
      <x:c r="F467" s="7" t="n">
        <x:v>1</x:v>
      </x:c>
      <x:c r="G467" s="2" t="str">
        <x:v>기혼</x:v>
      </x:c>
      <x:c r="H467" s="7" t="n">
        <x:v>1</x:v>
      </x:c>
      <x:c r="I467" s="2" t="str">
        <x:f>IF(H467&lt;3,H467&amp;"명","3명 이상")</x:f>
        <x:v>1명</x:v>
      </x:c>
      <x:c r="J467" s="2" t="str">
        <x:v>비흡연</x:v>
      </x:c>
      <x:c r="K467" s="2" t="str">
        <x:v>고혈압</x:v>
      </x:c>
      <x:c r="L467" s="2" t="str">
        <x:v>없음</x:v>
      </x:c>
      <x:c r="M467" s="2" t="str">
        <x:v>수호천사 간편심사(유병자)보험</x:v>
      </x:c>
      <x:c r="N467" s="2" t="str">
        <x:f>VLOOKUP(M467,'분류기준'!$A$5:$B$8,2,FALSE)</x:f>
        <x:v>간편심사보험</x:v>
      </x:c>
      <x:c r="O467" s="2" t="str">
        <x:v>중증질환 산정특례 보장 특약</x:v>
      </x:c>
      <x:c r="P467" s="2" t="str">
        <x:f>IF(O467="선택 안함","선택 안함",IF(O467="특약 없음","특약 없음","가입"))</x:f>
        <x:v>가입</x:v>
      </x:c>
      <x:c r="Q467" s="2" t="str">
        <x:f>IF(P467="가입","가입","미가입")</x:f>
        <x:v>가입</x:v>
      </x:c>
    </x:row>
    <x:row r="468" ht="23" customHeight="1">
      <x:c r="A468" s="2" t="str">
        <x:v>C0009</x:v>
      </x:c>
      <x:c r="B468" s="7" t="n">
        <x:v>42</x:v>
      </x:c>
      <x:c r="C468" s="2" t="str">
        <x:f>INT(B468/10)*10&amp;"대"</x:f>
        <x:v>40대</x:v>
      </x:c>
      <x:c r="D468" s="2" t="str">
        <x:v>남성</x:v>
      </x:c>
      <x:c r="E468" s="7" t="n">
        <x:v>6000</x:v>
      </x:c>
      <x:c r="F468" s="7" t="n">
        <x:v>1</x:v>
      </x:c>
      <x:c r="G468" s="2" t="str">
        <x:v>기혼</x:v>
      </x:c>
      <x:c r="H468" s="7" t="n">
        <x:v>2</x:v>
      </x:c>
      <x:c r="I468" s="2" t="str">
        <x:f>IF(H468&lt;3,H468&amp;"명","3명 이상")</x:f>
        <x:v>2명</x:v>
      </x:c>
      <x:c r="J468" s="2" t="str">
        <x:v>비흡연</x:v>
      </x:c>
      <x:c r="K468" s="2" t="str">
        <x:v>고혈압</x:v>
      </x:c>
      <x:c r="L468" s="2" t="str">
        <x:v>없음</x:v>
      </x:c>
      <x:c r="M468" s="2" t="str">
        <x:v>수호천사 간편심사(유병자)보험</x:v>
      </x:c>
      <x:c r="N468" s="2" t="str">
        <x:f>VLOOKUP(M468,'분류기준'!$A$5:$B$8,2,FALSE)</x:f>
        <x:v>간편심사보험</x:v>
      </x:c>
      <x:c r="O468" s="2" t="str">
        <x:v>선택 안함</x:v>
      </x:c>
      <x:c r="P468" s="2" t="str">
        <x:f>IF(O468="선택 안함","선택 안함",IF(O468="특약 없음","특약 없음","가입"))</x:f>
        <x:v>선택 안함</x:v>
      </x:c>
      <x:c r="Q468" s="2" t="str">
        <x:f>IF(P468="가입","가입","미가입")</x:f>
        <x:v>미가입</x:v>
      </x:c>
    </x:row>
    <x:row r="469" ht="23" customHeight="1">
      <x:c r="A469" s="2" t="str">
        <x:v>C0076</x:v>
      </x:c>
      <x:c r="B469" s="7" t="n">
        <x:v>42</x:v>
      </x:c>
      <x:c r="C469" s="2" t="str">
        <x:f>INT(B469/10)*10&amp;"대"</x:f>
        <x:v>40대</x:v>
      </x:c>
      <x:c r="D469" s="2" t="str">
        <x:v>여성</x:v>
      </x:c>
      <x:c r="E469" s="7" t="n">
        <x:v>3000</x:v>
      </x:c>
      <x:c r="F469" s="7" t="n">
        <x:v>1</x:v>
      </x:c>
      <x:c r="G469" s="2" t="str">
        <x:v>기혼</x:v>
      </x:c>
      <x:c r="H469" s="7" t="n">
        <x:v>2</x:v>
      </x:c>
      <x:c r="I469" s="2" t="str">
        <x:f>IF(H469&lt;3,H469&amp;"명","3명 이상")</x:f>
        <x:v>2명</x:v>
      </x:c>
      <x:c r="J469" s="2" t="str">
        <x:v>비흡연</x:v>
      </x:c>
      <x:c r="K469" s="2" t="str">
        <x:v>없음</x:v>
      </x:c>
      <x:c r="L469" s="2" t="str">
        <x:v>심혈관</x:v>
      </x:c>
      <x:c r="M469" s="2" t="str">
        <x:v>수호천사 우리가족 종신보험</x:v>
      </x:c>
      <x:c r="N469" s="2" t="str">
        <x:f>VLOOKUP(M469,'분류기준'!$A$5:$B$8,2,FALSE)</x:f>
        <x:v>종신보험</x:v>
      </x:c>
      <x:c r="O469" s="2" t="str">
        <x:v>가족 수입 보장 특약</x:v>
      </x:c>
      <x:c r="P469" s="2" t="str">
        <x:f>IF(O469="선택 안함","선택 안함",IF(O469="특약 없음","특약 없음","가입"))</x:f>
        <x:v>가입</x:v>
      </x:c>
      <x:c r="Q469" s="2" t="str">
        <x:f>IF(P469="가입","가입","미가입")</x:f>
        <x:v>가입</x:v>
      </x:c>
    </x:row>
    <x:row r="470" ht="23" customHeight="1">
      <x:c r="A470" s="2" t="str">
        <x:v>C0116</x:v>
      </x:c>
      <x:c r="B470" s="7" t="n">
        <x:v>42</x:v>
      </x:c>
      <x:c r="C470" s="2" t="str">
        <x:f>INT(B470/10)*10&amp;"대"</x:f>
        <x:v>40대</x:v>
      </x:c>
      <x:c r="D470" s="2" t="str">
        <x:v>남성</x:v>
      </x:c>
      <x:c r="E470" s="7" t="n">
        <x:v>5000</x:v>
      </x:c>
      <x:c r="F470" s="7" t="n">
        <x:v>1</x:v>
      </x:c>
      <x:c r="G470" s="2" t="str">
        <x:v>기혼</x:v>
      </x:c>
      <x:c r="H470" s="7" t="n">
        <x:v>2</x:v>
      </x:c>
      <x:c r="I470" s="2" t="str">
        <x:f>IF(H470&lt;3,H470&amp;"명","3명 이상")</x:f>
        <x:v>2명</x:v>
      </x:c>
      <x:c r="J470" s="2" t="str">
        <x:v>비흡연</x:v>
      </x:c>
      <x:c r="K470" s="2" t="str">
        <x:v>당뇨</x:v>
      </x:c>
      <x:c r="L470" s="2" t="str">
        <x:v>심혈관</x:v>
      </x:c>
      <x:c r="M470" s="2" t="str">
        <x:v>수호천사 우리가족 종신보험</x:v>
      </x:c>
      <x:c r="N470" s="2" t="str">
        <x:f>VLOOKUP(M470,'분류기준'!$A$5:$B$8,2,FALSE)</x:f>
        <x:v>종신보험</x:v>
      </x:c>
      <x:c r="O470" s="2" t="str">
        <x:v>가족 수입 보장 특약</x:v>
      </x:c>
      <x:c r="P470" s="2" t="str">
        <x:f>IF(O470="선택 안함","선택 안함",IF(O470="특약 없음","특약 없음","가입"))</x:f>
        <x:v>가입</x:v>
      </x:c>
      <x:c r="Q470" s="2" t="str">
        <x:f>IF(P470="가입","가입","미가입")</x:f>
        <x:v>가입</x:v>
      </x:c>
    </x:row>
    <x:row r="471" ht="23" customHeight="1">
      <x:c r="A471" s="2" t="str">
        <x:v>C0148</x:v>
      </x:c>
      <x:c r="B471" s="7" t="n">
        <x:v>42</x:v>
      </x:c>
      <x:c r="C471" s="2" t="str">
        <x:f>INT(B471/10)*10&amp;"대"</x:f>
        <x:v>40대</x:v>
      </x:c>
      <x:c r="D471" s="2" t="str">
        <x:v>남성</x:v>
      </x:c>
      <x:c r="E471" s="7" t="n">
        <x:v>12000</x:v>
      </x:c>
      <x:c r="F471" s="7" t="n">
        <x:v>3</x:v>
      </x:c>
      <x:c r="G471" s="2" t="str">
        <x:v>기혼</x:v>
      </x:c>
      <x:c r="H471" s="7" t="n">
        <x:v>1</x:v>
      </x:c>
      <x:c r="I471" s="2" t="str">
        <x:f>IF(H471&lt;3,H471&amp;"명","3명 이상")</x:f>
        <x:v>1명</x:v>
      </x:c>
      <x:c r="J471" s="2" t="str">
        <x:v>비흡연</x:v>
      </x:c>
      <x:c r="K471" s="2" t="str">
        <x:v>없음</x:v>
      </x:c>
      <x:c r="L471" s="2" t="str">
        <x:v>없음</x:v>
      </x:c>
      <x:c r="M471" s="2" t="str">
        <x:v>수호천사 우리가족 종신보험</x:v>
      </x:c>
      <x:c r="N471" s="2" t="str">
        <x:f>VLOOKUP(M471,'분류기준'!$A$5:$B$8,2,FALSE)</x:f>
        <x:v>종신보험</x:v>
      </x:c>
      <x:c r="O471" s="2" t="str">
        <x:v>가족 수입 보장 특약</x:v>
      </x:c>
      <x:c r="P471" s="2" t="str">
        <x:f>IF(O471="선택 안함","선택 안함",IF(O471="특약 없음","특약 없음","가입"))</x:f>
        <x:v>가입</x:v>
      </x:c>
      <x:c r="Q471" s="2" t="str">
        <x:f>IF(P471="가입","가입","미가입")</x:f>
        <x:v>가입</x:v>
      </x:c>
    </x:row>
    <x:row r="472" ht="23" customHeight="1">
      <x:c r="A472" s="2" t="str">
        <x:v>C0204</x:v>
      </x:c>
      <x:c r="B472" s="7" t="n">
        <x:v>42</x:v>
      </x:c>
      <x:c r="C472" s="2" t="str">
        <x:f>INT(B472/10)*10&amp;"대"</x:f>
        <x:v>40대</x:v>
      </x:c>
      <x:c r="D472" s="2" t="str">
        <x:v>여성</x:v>
      </x:c>
      <x:c r="E472" s="7" t="n">
        <x:v>7500</x:v>
      </x:c>
      <x:c r="F472" s="7" t="n">
        <x:v>1</x:v>
      </x:c>
      <x:c r="G472" s="2" t="str">
        <x:v>기혼</x:v>
      </x:c>
      <x:c r="H472" s="7" t="n">
        <x:v>1</x:v>
      </x:c>
      <x:c r="I472" s="2" t="str">
        <x:f>IF(H472&lt;3,H472&amp;"명","3명 이상")</x:f>
        <x:v>1명</x:v>
      </x:c>
      <x:c r="J472" s="2" t="str">
        <x:v>비흡연</x:v>
      </x:c>
      <x:c r="K472" s="2" t="str">
        <x:v>없음</x:v>
      </x:c>
      <x:c r="L472" s="2" t="str">
        <x:v>없음</x:v>
      </x:c>
      <x:c r="M472" s="2" t="str">
        <x:v>수호천사 간편심사(유병자)보험</x:v>
      </x:c>
      <x:c r="N472" s="2" t="str">
        <x:f>VLOOKUP(M472,'분류기준'!$A$5:$B$8,2,FALSE)</x:f>
        <x:v>간편심사보험</x:v>
      </x:c>
      <x:c r="O472" s="2" t="str">
        <x:v>중증질환 산정특례 보장 특약</x:v>
      </x:c>
      <x:c r="P472" s="2" t="str">
        <x:f>IF(O472="선택 안함","선택 안함",IF(O472="특약 없음","특약 없음","가입"))</x:f>
        <x:v>가입</x:v>
      </x:c>
      <x:c r="Q472" s="2" t="str">
        <x:f>IF(P472="가입","가입","미가입")</x:f>
        <x:v>가입</x:v>
      </x:c>
    </x:row>
    <x:row r="473" ht="23" customHeight="1">
      <x:c r="A473" s="2" t="str">
        <x:v>C0252</x:v>
      </x:c>
      <x:c r="B473" s="7" t="n">
        <x:v>42</x:v>
      </x:c>
      <x:c r="C473" s="2" t="str">
        <x:f>INT(B473/10)*10&amp;"대"</x:f>
        <x:v>40대</x:v>
      </x:c>
      <x:c r="D473" s="2" t="str">
        <x:v>여성</x:v>
      </x:c>
      <x:c r="E473" s="7" t="n">
        <x:v>6000</x:v>
      </x:c>
      <x:c r="F473" s="7" t="n">
        <x:v>1</x:v>
      </x:c>
      <x:c r="G473" s="2" t="str">
        <x:v>기혼</x:v>
      </x:c>
      <x:c r="H473" s="7" t="n">
        <x:v>0</x:v>
      </x:c>
      <x:c r="I473" s="2" t="str">
        <x:f>IF(H473&lt;3,H473&amp;"명","3명 이상")</x:f>
        <x:v>0명</x:v>
      </x:c>
      <x:c r="J473" s="2" t="str">
        <x:v>비흡연</x:v>
      </x:c>
      <x:c r="K473" s="2" t="str">
        <x:v>없음</x:v>
      </x:c>
      <x:c r="L473" s="2" t="str">
        <x:v>없음</x:v>
      </x:c>
      <x:c r="M473" s="2" t="str">
        <x:v>수호천사 간편심사(유병자)보험</x:v>
      </x:c>
      <x:c r="N473" s="2" t="str">
        <x:f>VLOOKUP(M473,'분류기준'!$A$5:$B$8,2,FALSE)</x:f>
        <x:v>간편심사보험</x:v>
      </x:c>
      <x:c r="O473" s="2" t="str">
        <x:v>중증질환 산정특례 보장 특약</x:v>
      </x:c>
      <x:c r="P473" s="2" t="str">
        <x:f>IF(O473="선택 안함","선택 안함",IF(O473="특약 없음","특약 없음","가입"))</x:f>
        <x:v>가입</x:v>
      </x:c>
      <x:c r="Q473" s="2" t="str">
        <x:f>IF(P473="가입","가입","미가입")</x:f>
        <x:v>가입</x:v>
      </x:c>
    </x:row>
    <x:row r="474" ht="23" customHeight="1">
      <x:c r="A474" s="2" t="str">
        <x:v>C0345</x:v>
      </x:c>
      <x:c r="B474" s="7" t="n">
        <x:v>42</x:v>
      </x:c>
      <x:c r="C474" s="2" t="str">
        <x:f>INT(B474/10)*10&amp;"대"</x:f>
        <x:v>40대</x:v>
      </x:c>
      <x:c r="D474" s="2" t="str">
        <x:v>남성</x:v>
      </x:c>
      <x:c r="E474" s="7" t="n">
        <x:v>7500</x:v>
      </x:c>
      <x:c r="F474" s="7" t="n">
        <x:v>1</x:v>
      </x:c>
      <x:c r="G474" s="2" t="str">
        <x:v>기혼</x:v>
      </x:c>
      <x:c r="H474" s="7" t="n">
        <x:v>2</x:v>
      </x:c>
      <x:c r="I474" s="2" t="str">
        <x:f>IF(H474&lt;3,H474&amp;"명","3명 이상")</x:f>
        <x:v>2명</x:v>
      </x:c>
      <x:c r="J474" s="2" t="str">
        <x:v>비흡연</x:v>
      </x:c>
      <x:c r="K474" s="2" t="str">
        <x:v>없음</x:v>
      </x:c>
      <x:c r="L474" s="2" t="str">
        <x:v>없음</x:v>
      </x:c>
      <x:c r="M474" s="2" t="str">
        <x:v>수호천사 우리가족 종신보험</x:v>
      </x:c>
      <x:c r="N474" s="2" t="str">
        <x:f>VLOOKUP(M474,'분류기준'!$A$5:$B$8,2,FALSE)</x:f>
        <x:v>종신보험</x:v>
      </x:c>
      <x:c r="O474" s="2" t="str">
        <x:v>가족 수입 보장 특약</x:v>
      </x:c>
      <x:c r="P474" s="2" t="str">
        <x:f>IF(O474="선택 안함","선택 안함",IF(O474="특약 없음","특약 없음","가입"))</x:f>
        <x:v>가입</x:v>
      </x:c>
      <x:c r="Q474" s="2" t="str">
        <x:f>IF(P474="가입","가입","미가입")</x:f>
        <x:v>가입</x:v>
      </x:c>
    </x:row>
    <x:row r="475" ht="23" customHeight="1">
      <x:c r="A475" s="2" t="str">
        <x:v>C0358</x:v>
      </x:c>
      <x:c r="B475" s="7" t="n">
        <x:v>42</x:v>
      </x:c>
      <x:c r="C475" s="2" t="str">
        <x:f>INT(B475/10)*10&amp;"대"</x:f>
        <x:v>40대</x:v>
      </x:c>
      <x:c r="D475" s="2" t="str">
        <x:v>남성</x:v>
      </x:c>
      <x:c r="E475" s="7" t="n">
        <x:v>5000</x:v>
      </x:c>
      <x:c r="F475" s="7" t="n">
        <x:v>3</x:v>
      </x:c>
      <x:c r="G475" s="2" t="str">
        <x:v>기혼</x:v>
      </x:c>
      <x:c r="H475" s="7" t="n">
        <x:v>0</x:v>
      </x:c>
      <x:c r="I475" s="2" t="str">
        <x:f>IF(H475&lt;3,H475&amp;"명","3명 이상")</x:f>
        <x:v>0명</x:v>
      </x:c>
      <x:c r="J475" s="2" t="str">
        <x:v>비흡연</x:v>
      </x:c>
      <x:c r="K475" s="2" t="str">
        <x:v>당뇨</x:v>
      </x:c>
      <x:c r="L475" s="2" t="str">
        <x:v>심혈관</x:v>
      </x:c>
      <x:c r="M475" s="2" t="str">
        <x:v>수호천사 암/건강보험</x:v>
      </x:c>
      <x:c r="N475" s="2" t="str">
        <x:f>VLOOKUP(M475,'분류기준'!$A$5:$B$8,2,FALSE)</x:f>
        <x:v>암/건강보험</x:v>
      </x:c>
      <x:c r="O475" s="2" t="str">
        <x:v>표적항암약물허가치료 특약</x:v>
      </x:c>
      <x:c r="P475" s="2" t="str">
        <x:f>IF(O475="선택 안함","선택 안함",IF(O475="특약 없음","특약 없음","가입"))</x:f>
        <x:v>가입</x:v>
      </x:c>
      <x:c r="Q475" s="2" t="str">
        <x:f>IF(P475="가입","가입","미가입")</x:f>
        <x:v>가입</x:v>
      </x:c>
    </x:row>
    <x:row r="476" ht="23" customHeight="1">
      <x:c r="A476" s="2" t="str">
        <x:v>C0387</x:v>
      </x:c>
      <x:c r="B476" s="7" t="n">
        <x:v>42</x:v>
      </x:c>
      <x:c r="C476" s="2" t="str">
        <x:f>INT(B476/10)*10&amp;"대"</x:f>
        <x:v>40대</x:v>
      </x:c>
      <x:c r="D476" s="2" t="str">
        <x:v>여성</x:v>
      </x:c>
      <x:c r="E476" s="7" t="n">
        <x:v>5000</x:v>
      </x:c>
      <x:c r="F476" s="7" t="n">
        <x:v>1</x:v>
      </x:c>
      <x:c r="G476" s="2" t="str">
        <x:v>기혼</x:v>
      </x:c>
      <x:c r="H476" s="7" t="n">
        <x:v>1</x:v>
      </x:c>
      <x:c r="I476" s="2" t="str">
        <x:f>IF(H476&lt;3,H476&amp;"명","3명 이상")</x:f>
        <x:v>1명</x:v>
      </x:c>
      <x:c r="J476" s="2" t="str">
        <x:v>비흡연</x:v>
      </x:c>
      <x:c r="K476" s="2" t="str">
        <x:v>없음</x:v>
      </x:c>
      <x:c r="L476" s="2" t="str">
        <x:v>없음</x:v>
      </x:c>
      <x:c r="M476" s="2" t="str">
        <x:v>수호천사 우리가족 종신보험</x:v>
      </x:c>
      <x:c r="N476" s="2" t="str">
        <x:f>VLOOKUP(M476,'분류기준'!$A$5:$B$8,2,FALSE)</x:f>
        <x:v>종신보험</x:v>
      </x:c>
      <x:c r="O476" s="2" t="str">
        <x:v>가족 수입 보장 특약</x:v>
      </x:c>
      <x:c r="P476" s="2" t="str">
        <x:f>IF(O476="선택 안함","선택 안함",IF(O476="특약 없음","특약 없음","가입"))</x:f>
        <x:v>가입</x:v>
      </x:c>
      <x:c r="Q476" s="2" t="str">
        <x:f>IF(P476="가입","가입","미가입")</x:f>
        <x:v>가입</x:v>
      </x:c>
    </x:row>
    <x:row r="477" ht="23" customHeight="1">
      <x:c r="A477" s="2" t="str">
        <x:v>C0393</x:v>
      </x:c>
      <x:c r="B477" s="7" t="n">
        <x:v>42</x:v>
      </x:c>
      <x:c r="C477" s="2" t="str">
        <x:f>INT(B477/10)*10&amp;"대"</x:f>
        <x:v>40대</x:v>
      </x:c>
      <x:c r="D477" s="2" t="str">
        <x:v>여성</x:v>
      </x:c>
      <x:c r="E477" s="7" t="n">
        <x:v>4000</x:v>
      </x:c>
      <x:c r="F477" s="7" t="n">
        <x:v>1</x:v>
      </x:c>
      <x:c r="G477" s="2" t="str">
        <x:v>미혼</x:v>
      </x:c>
      <x:c r="H477" s="7" t="n">
        <x:v>0</x:v>
      </x:c>
      <x:c r="I477" s="2" t="str">
        <x:f>IF(H477&lt;3,H477&amp;"명","3명 이상")</x:f>
        <x:v>0명</x:v>
      </x:c>
      <x:c r="J477" s="2" t="str">
        <x:v>흡연</x:v>
      </x:c>
      <x:c r="K477" s="2" t="str">
        <x:v>없음</x:v>
      </x:c>
      <x:c r="L477" s="2" t="str">
        <x:v>없음</x:v>
      </x:c>
      <x:c r="M477" s="2" t="str">
        <x:v>수호천사 행복 연금보험</x:v>
      </x:c>
      <x:c r="N477" s="2" t="str">
        <x:f>VLOOKUP(M477,'분류기준'!$A$5:$B$8,2,FALSE)</x:f>
        <x:v>연금보험</x:v>
      </x:c>
      <x:c r="O477" s="2" t="str">
        <x:v>특약 없음</x:v>
      </x:c>
      <x:c r="P477" s="2" t="str">
        <x:f>IF(O477="선택 안함","선택 안함",IF(O477="특약 없음","특약 없음","가입"))</x:f>
        <x:v>특약 없음</x:v>
      </x:c>
      <x:c r="Q477" s="2" t="str">
        <x:f>IF(P477="가입","가입","미가입")</x:f>
        <x:v>미가입</x:v>
      </x:c>
    </x:row>
    <x:row r="478" ht="23" customHeight="1">
      <x:c r="A478" s="2" t="str">
        <x:v>C0427</x:v>
      </x:c>
      <x:c r="B478" s="7" t="n">
        <x:v>42</x:v>
      </x:c>
      <x:c r="C478" s="2" t="str">
        <x:f>INT(B478/10)*10&amp;"대"</x:f>
        <x:v>40대</x:v>
      </x:c>
      <x:c r="D478" s="2" t="str">
        <x:v>남성</x:v>
      </x:c>
      <x:c r="E478" s="7" t="n">
        <x:v>7500</x:v>
      </x:c>
      <x:c r="F478" s="7" t="n">
        <x:v>1</x:v>
      </x:c>
      <x:c r="G478" s="2" t="str">
        <x:v>기혼</x:v>
      </x:c>
      <x:c r="H478" s="7" t="n">
        <x:v>2</x:v>
      </x:c>
      <x:c r="I478" s="2" t="str">
        <x:f>IF(H478&lt;3,H478&amp;"명","3명 이상")</x:f>
        <x:v>2명</x:v>
      </x:c>
      <x:c r="J478" s="2" t="str">
        <x:v>비흡연</x:v>
      </x:c>
      <x:c r="K478" s="2" t="str">
        <x:v>없음</x:v>
      </x:c>
      <x:c r="L478" s="2" t="str">
        <x:v>암</x:v>
      </x:c>
      <x:c r="M478" s="2" t="str">
        <x:v>수호천사 우리가족 종신보험</x:v>
      </x:c>
      <x:c r="N478" s="2" t="str">
        <x:f>VLOOKUP(M478,'분류기준'!$A$5:$B$8,2,FALSE)</x:f>
        <x:v>종신보험</x:v>
      </x:c>
      <x:c r="O478" s="2" t="str">
        <x:v>가족 수입 보장 특약</x:v>
      </x:c>
      <x:c r="P478" s="2" t="str">
        <x:f>IF(O478="선택 안함","선택 안함",IF(O478="특약 없음","특약 없음","가입"))</x:f>
        <x:v>가입</x:v>
      </x:c>
      <x:c r="Q478" s="2" t="str">
        <x:f>IF(P478="가입","가입","미가입")</x:f>
        <x:v>가입</x:v>
      </x:c>
    </x:row>
    <x:row r="479" ht="23" customHeight="1">
      <x:c r="A479" s="2" t="str">
        <x:v>C0466</x:v>
      </x:c>
      <x:c r="B479" s="7" t="n">
        <x:v>42</x:v>
      </x:c>
      <x:c r="C479" s="2" t="str">
        <x:f>INT(B479/10)*10&amp;"대"</x:f>
        <x:v>40대</x:v>
      </x:c>
      <x:c r="D479" s="2" t="str">
        <x:v>남성</x:v>
      </x:c>
      <x:c r="E479" s="7" t="n">
        <x:v>3000</x:v>
      </x:c>
      <x:c r="F479" s="7" t="n">
        <x:v>2</x:v>
      </x:c>
      <x:c r="G479" s="2" t="str">
        <x:v>미혼</x:v>
      </x:c>
      <x:c r="H479" s="7" t="n">
        <x:v>0</x:v>
      </x:c>
      <x:c r="I479" s="2" t="str">
        <x:f>IF(H479&lt;3,H479&amp;"명","3명 이상")</x:f>
        <x:v>0명</x:v>
      </x:c>
      <x:c r="J479" s="2" t="str">
        <x:v>비흡연</x:v>
      </x:c>
      <x:c r="K479" s="2" t="str">
        <x:v>없음</x:v>
      </x:c>
      <x:c r="L479" s="2" t="str">
        <x:v>없음</x:v>
      </x:c>
      <x:c r="M479" s="2" t="str">
        <x:v>수호천사 간편심사(유병자)보험</x:v>
      </x:c>
      <x:c r="N479" s="2" t="str">
        <x:f>VLOOKUP(M479,'분류기준'!$A$5:$B$8,2,FALSE)</x:f>
        <x:v>간편심사보험</x:v>
      </x:c>
      <x:c r="O479" s="2" t="str">
        <x:v>중증질환 산정특례 보장 특약</x:v>
      </x:c>
      <x:c r="P479" s="2" t="str">
        <x:f>IF(O479="선택 안함","선택 안함",IF(O479="특약 없음","특약 없음","가입"))</x:f>
        <x:v>가입</x:v>
      </x:c>
      <x:c r="Q479" s="2" t="str">
        <x:f>IF(P479="가입","가입","미가입")</x:f>
        <x:v>가입</x:v>
      </x:c>
    </x:row>
    <x:row r="480" ht="23" customHeight="1">
      <x:c r="A480" s="2" t="str">
        <x:v>C0509</x:v>
      </x:c>
      <x:c r="B480" s="7" t="n">
        <x:v>42</x:v>
      </x:c>
      <x:c r="C480" s="2" t="str">
        <x:f>INT(B480/10)*10&amp;"대"</x:f>
        <x:v>40대</x:v>
      </x:c>
      <x:c r="D480" s="2" t="str">
        <x:v>여성</x:v>
      </x:c>
      <x:c r="E480" s="7" t="n">
        <x:v>3000</x:v>
      </x:c>
      <x:c r="F480" s="7" t="n">
        <x:v>1</x:v>
      </x:c>
      <x:c r="G480" s="2" t="str">
        <x:v>기혼</x:v>
      </x:c>
      <x:c r="H480" s="7" t="n">
        <x:v>2</x:v>
      </x:c>
      <x:c r="I480" s="2" t="str">
        <x:f>IF(H480&lt;3,H480&amp;"명","3명 이상")</x:f>
        <x:v>2명</x:v>
      </x:c>
      <x:c r="J480" s="2" t="str">
        <x:v>비흡연</x:v>
      </x:c>
      <x:c r="K480" s="2" t="str">
        <x:v>없음</x:v>
      </x:c>
      <x:c r="L480" s="2" t="str">
        <x:v>없음</x:v>
      </x:c>
      <x:c r="M480" s="2" t="str">
        <x:v>수호천사 간편심사(유병자)보험</x:v>
      </x:c>
      <x:c r="N480" s="2" t="str">
        <x:f>VLOOKUP(M480,'분류기준'!$A$5:$B$8,2,FALSE)</x:f>
        <x:v>간편심사보험</x:v>
      </x:c>
      <x:c r="O480" s="2" t="str">
        <x:v>중증질환 산정특례 보장 특약</x:v>
      </x:c>
      <x:c r="P480" s="2" t="str">
        <x:f>IF(O480="선택 안함","선택 안함",IF(O480="특약 없음","특약 없음","가입"))</x:f>
        <x:v>가입</x:v>
      </x:c>
      <x:c r="Q480" s="2" t="str">
        <x:f>IF(P480="가입","가입","미가입")</x:f>
        <x:v>가입</x:v>
      </x:c>
    </x:row>
    <x:row r="481" ht="23" customHeight="1">
      <x:c r="A481" s="2" t="str">
        <x:v>C0539</x:v>
      </x:c>
      <x:c r="B481" s="7" t="n">
        <x:v>42</x:v>
      </x:c>
      <x:c r="C481" s="2" t="str">
        <x:f>INT(B481/10)*10&amp;"대"</x:f>
        <x:v>40대</x:v>
      </x:c>
      <x:c r="D481" s="2" t="str">
        <x:v>남성</x:v>
      </x:c>
      <x:c r="E481" s="7" t="n">
        <x:v>4000</x:v>
      </x:c>
      <x:c r="F481" s="7" t="n">
        <x:v>3</x:v>
      </x:c>
      <x:c r="G481" s="2" t="str">
        <x:v>미혼</x:v>
      </x:c>
      <x:c r="H481" s="7" t="n">
        <x:v>0</x:v>
      </x:c>
      <x:c r="I481" s="2" t="str">
        <x:f>IF(H481&lt;3,H481&amp;"명","3명 이상")</x:f>
        <x:v>0명</x:v>
      </x:c>
      <x:c r="J481" s="2" t="str">
        <x:v>비흡연</x:v>
      </x:c>
      <x:c r="K481" s="2" t="str">
        <x:v>없음</x:v>
      </x:c>
      <x:c r="L481" s="2" t="str">
        <x:v>없음</x:v>
      </x:c>
      <x:c r="M481" s="2" t="str">
        <x:v>수호천사 우리가족 종신보험</x:v>
      </x:c>
      <x:c r="N481" s="2" t="str">
        <x:f>VLOOKUP(M481,'분류기준'!$A$5:$B$8,2,FALSE)</x:f>
        <x:v>종신보험</x:v>
      </x:c>
      <x:c r="O481" s="2" t="str">
        <x:v>선택 안함</x:v>
      </x:c>
      <x:c r="P481" s="2" t="str">
        <x:f>IF(O481="선택 안함","선택 안함",IF(O481="특약 없음","특약 없음","가입"))</x:f>
        <x:v>선택 안함</x:v>
      </x:c>
      <x:c r="Q481" s="2" t="str">
        <x:f>IF(P481="가입","가입","미가입")</x:f>
        <x:v>미가입</x:v>
      </x:c>
    </x:row>
    <x:row r="482" ht="23" customHeight="1">
      <x:c r="A482" s="2" t="str">
        <x:v>C0544</x:v>
      </x:c>
      <x:c r="B482" s="7" t="n">
        <x:v>42</x:v>
      </x:c>
      <x:c r="C482" s="2" t="str">
        <x:f>INT(B482/10)*10&amp;"대"</x:f>
        <x:v>40대</x:v>
      </x:c>
      <x:c r="D482" s="2" t="str">
        <x:v>남성</x:v>
      </x:c>
      <x:c r="E482" s="7" t="n">
        <x:v>6000</x:v>
      </x:c>
      <x:c r="F482" s="7" t="n">
        <x:v>1</x:v>
      </x:c>
      <x:c r="G482" s="2" t="str">
        <x:v>미혼</x:v>
      </x:c>
      <x:c r="H482" s="7" t="n">
        <x:v>0</x:v>
      </x:c>
      <x:c r="I482" s="2" t="str">
        <x:f>IF(H482&lt;3,H482&amp;"명","3명 이상")</x:f>
        <x:v>0명</x:v>
      </x:c>
      <x:c r="J482" s="2" t="str">
        <x:v>비흡연</x:v>
      </x:c>
      <x:c r="K482" s="2" t="str">
        <x:v>없음</x:v>
      </x:c>
      <x:c r="L482" s="2" t="str">
        <x:v>심혈관</x:v>
      </x:c>
      <x:c r="M482" s="2" t="str">
        <x:v>수호천사 암/건강보험</x:v>
      </x:c>
      <x:c r="N482" s="2" t="str">
        <x:f>VLOOKUP(M482,'분류기준'!$A$5:$B$8,2,FALSE)</x:f>
        <x:v>암/건강보험</x:v>
      </x:c>
      <x:c r="O482" s="2" t="str">
        <x:v>수술비 보장 특약</x:v>
      </x:c>
      <x:c r="P482" s="2" t="str">
        <x:f>IF(O482="선택 안함","선택 안함",IF(O482="특약 없음","특약 없음","가입"))</x:f>
        <x:v>가입</x:v>
      </x:c>
      <x:c r="Q482" s="2" t="str">
        <x:f>IF(P482="가입","가입","미가입")</x:f>
        <x:v>가입</x:v>
      </x:c>
    </x:row>
    <x:row r="483" ht="23" customHeight="1">
      <x:c r="A483" s="2" t="str">
        <x:v>C0573</x:v>
      </x:c>
      <x:c r="B483" s="7" t="n">
        <x:v>42</x:v>
      </x:c>
      <x:c r="C483" s="2" t="str">
        <x:f>INT(B483/10)*10&amp;"대"</x:f>
        <x:v>40대</x:v>
      </x:c>
      <x:c r="D483" s="2" t="str">
        <x:v>남성</x:v>
      </x:c>
      <x:c r="E483" s="7" t="n">
        <x:v>3000</x:v>
      </x:c>
      <x:c r="F483" s="7" t="n">
        <x:v>1</x:v>
      </x:c>
      <x:c r="G483" s="2" t="str">
        <x:v>기혼</x:v>
      </x:c>
      <x:c r="H483" s="7" t="n">
        <x:v>0</x:v>
      </x:c>
      <x:c r="I483" s="2" t="str">
        <x:f>IF(H483&lt;3,H483&amp;"명","3명 이상")</x:f>
        <x:v>0명</x:v>
      </x:c>
      <x:c r="J483" s="2" t="str">
        <x:v>비흡연</x:v>
      </x:c>
      <x:c r="K483" s="2" t="str">
        <x:v>없음</x:v>
      </x:c>
      <x:c r="L483" s="2" t="str">
        <x:v>없음</x:v>
      </x:c>
      <x:c r="M483" s="2" t="str">
        <x:v>수호천사 암/건강보험</x:v>
      </x:c>
      <x:c r="N483" s="2" t="str">
        <x:f>VLOOKUP(M483,'분류기준'!$A$5:$B$8,2,FALSE)</x:f>
        <x:v>암/건강보험</x:v>
      </x:c>
      <x:c r="O483" s="2" t="str">
        <x:v>표적항암약물허가치료 특약</x:v>
      </x:c>
      <x:c r="P483" s="2" t="str">
        <x:f>IF(O483="선택 안함","선택 안함",IF(O483="특약 없음","특약 없음","가입"))</x:f>
        <x:v>가입</x:v>
      </x:c>
      <x:c r="Q483" s="2" t="str">
        <x:f>IF(P483="가입","가입","미가입")</x:f>
        <x:v>가입</x:v>
      </x:c>
    </x:row>
    <x:row r="484" ht="23" customHeight="1">
      <x:c r="A484" s="2" t="str">
        <x:v>C0583</x:v>
      </x:c>
      <x:c r="B484" s="7" t="n">
        <x:v>42</x:v>
      </x:c>
      <x:c r="C484" s="2" t="str">
        <x:f>INT(B484/10)*10&amp;"대"</x:f>
        <x:v>40대</x:v>
      </x:c>
      <x:c r="D484" s="2" t="str">
        <x:v>여성</x:v>
      </x:c>
      <x:c r="E484" s="7" t="n">
        <x:v>7500</x:v>
      </x:c>
      <x:c r="F484" s="7" t="n">
        <x:v>2</x:v>
      </x:c>
      <x:c r="G484" s="2" t="str">
        <x:v>기혼</x:v>
      </x:c>
      <x:c r="H484" s="7" t="n">
        <x:v>2</x:v>
      </x:c>
      <x:c r="I484" s="2" t="str">
        <x:f>IF(H484&lt;3,H484&amp;"명","3명 이상")</x:f>
        <x:v>2명</x:v>
      </x:c>
      <x:c r="J484" s="2" t="str">
        <x:v>비흡연</x:v>
      </x:c>
      <x:c r="K484" s="2" t="str">
        <x:v>당뇨</x:v>
      </x:c>
      <x:c r="L484" s="2" t="str">
        <x:v>없음</x:v>
      </x:c>
      <x:c r="M484" s="2" t="str">
        <x:v>수호천사 우리가족 종신보험</x:v>
      </x:c>
      <x:c r="N484" s="2" t="str">
        <x:f>VLOOKUP(M484,'분류기준'!$A$5:$B$8,2,FALSE)</x:f>
        <x:v>종신보험</x:v>
      </x:c>
      <x:c r="O484" s="2" t="str">
        <x:v>가족 수입 보장 특약</x:v>
      </x:c>
      <x:c r="P484" s="2" t="str">
        <x:f>IF(O484="선택 안함","선택 안함",IF(O484="특약 없음","특약 없음","가입"))</x:f>
        <x:v>가입</x:v>
      </x:c>
      <x:c r="Q484" s="2" t="str">
        <x:f>IF(P484="가입","가입","미가입")</x:f>
        <x:v>가입</x:v>
      </x:c>
    </x:row>
    <x:row r="485" ht="23" customHeight="1">
      <x:c r="A485" s="2" t="str">
        <x:v>C0665</x:v>
      </x:c>
      <x:c r="B485" s="7" t="n">
        <x:v>42</x:v>
      </x:c>
      <x:c r="C485" s="2" t="str">
        <x:f>INT(B485/10)*10&amp;"대"</x:f>
        <x:v>40대</x:v>
      </x:c>
      <x:c r="D485" s="2" t="str">
        <x:v>남성</x:v>
      </x:c>
      <x:c r="E485" s="7" t="n">
        <x:v>3000</x:v>
      </x:c>
      <x:c r="F485" s="7" t="n">
        <x:v>1</x:v>
      </x:c>
      <x:c r="G485" s="2" t="str">
        <x:v>기혼</x:v>
      </x:c>
      <x:c r="H485" s="7" t="n">
        <x:v>1</x:v>
      </x:c>
      <x:c r="I485" s="2" t="str">
        <x:f>IF(H485&lt;3,H485&amp;"명","3명 이상")</x:f>
        <x:v>1명</x:v>
      </x:c>
      <x:c r="J485" s="2" t="str">
        <x:v>비흡연</x:v>
      </x:c>
      <x:c r="K485" s="2" t="str">
        <x:v>없음</x:v>
      </x:c>
      <x:c r="L485" s="2" t="str">
        <x:v>암</x:v>
      </x:c>
      <x:c r="M485" s="2" t="str">
        <x:v>수호천사 우리가족 종신보험</x:v>
      </x:c>
      <x:c r="N485" s="2" t="str">
        <x:f>VLOOKUP(M485,'분류기준'!$A$5:$B$8,2,FALSE)</x:f>
        <x:v>종신보험</x:v>
      </x:c>
      <x:c r="O485" s="2" t="str">
        <x:v>가족 수입 보장 특약</x:v>
      </x:c>
      <x:c r="P485" s="2" t="str">
        <x:f>IF(O485="선택 안함","선택 안함",IF(O485="특약 없음","특약 없음","가입"))</x:f>
        <x:v>가입</x:v>
      </x:c>
      <x:c r="Q485" s="2" t="str">
        <x:f>IF(P485="가입","가입","미가입")</x:f>
        <x:v>가입</x:v>
      </x:c>
    </x:row>
    <x:row r="486" ht="23" customHeight="1">
      <x:c r="A486" s="2" t="str">
        <x:v>C0731</x:v>
      </x:c>
      <x:c r="B486" s="7" t="n">
        <x:v>42</x:v>
      </x:c>
      <x:c r="C486" s="2" t="str">
        <x:f>INT(B486/10)*10&amp;"대"</x:f>
        <x:v>40대</x:v>
      </x:c>
      <x:c r="D486" s="2" t="str">
        <x:v>여성</x:v>
      </x:c>
      <x:c r="E486" s="7" t="n">
        <x:v>3000</x:v>
      </x:c>
      <x:c r="F486" s="7" t="n">
        <x:v>1</x:v>
      </x:c>
      <x:c r="G486" s="2" t="str">
        <x:v>기혼</x:v>
      </x:c>
      <x:c r="H486" s="7" t="n">
        <x:v>1</x:v>
      </x:c>
      <x:c r="I486" s="2" t="str">
        <x:f>IF(H486&lt;3,H486&amp;"명","3명 이상")</x:f>
        <x:v>1명</x:v>
      </x:c>
      <x:c r="J486" s="2" t="str">
        <x:v>비흡연</x:v>
      </x:c>
      <x:c r="K486" s="2" t="str">
        <x:v>없음</x:v>
      </x:c>
      <x:c r="L486" s="2" t="str">
        <x:v>없음</x:v>
      </x:c>
      <x:c r="M486" s="2" t="str">
        <x:v>수호천사 우리가족 종신보험</x:v>
      </x:c>
      <x:c r="N486" s="2" t="str">
        <x:f>VLOOKUP(M486,'분류기준'!$A$5:$B$8,2,FALSE)</x:f>
        <x:v>종신보험</x:v>
      </x:c>
      <x:c r="O486" s="2" t="str">
        <x:v>선택 안함</x:v>
      </x:c>
      <x:c r="P486" s="2" t="str">
        <x:f>IF(O486="선택 안함","선택 안함",IF(O486="특약 없음","특약 없음","가입"))</x:f>
        <x:v>선택 안함</x:v>
      </x:c>
      <x:c r="Q486" s="2" t="str">
        <x:f>IF(P486="가입","가입","미가입")</x:f>
        <x:v>미가입</x:v>
      </x:c>
    </x:row>
    <x:row r="487" ht="23" customHeight="1">
      <x:c r="A487" s="2" t="str">
        <x:v>C0764</x:v>
      </x:c>
      <x:c r="B487" s="7" t="n">
        <x:v>42</x:v>
      </x:c>
      <x:c r="C487" s="2" t="str">
        <x:f>INT(B487/10)*10&amp;"대"</x:f>
        <x:v>40대</x:v>
      </x:c>
      <x:c r="D487" s="2" t="str">
        <x:v>여성</x:v>
      </x:c>
      <x:c r="E487" s="7" t="n">
        <x:v>6000</x:v>
      </x:c>
      <x:c r="F487" s="7" t="n">
        <x:v>1</x:v>
      </x:c>
      <x:c r="G487" s="2" t="str">
        <x:v>미혼</x:v>
      </x:c>
      <x:c r="H487" s="7" t="n">
        <x:v>0</x:v>
      </x:c>
      <x:c r="I487" s="2" t="str">
        <x:f>IF(H487&lt;3,H487&amp;"명","3명 이상")</x:f>
        <x:v>0명</x:v>
      </x:c>
      <x:c r="J487" s="2" t="str">
        <x:v>비흡연</x:v>
      </x:c>
      <x:c r="K487" s="2" t="str">
        <x:v>없음</x:v>
      </x:c>
      <x:c r="L487" s="2" t="str">
        <x:v>없음</x:v>
      </x:c>
      <x:c r="M487" s="2" t="str">
        <x:v>수호천사 행복 연금보험</x:v>
      </x:c>
      <x:c r="N487" s="2" t="str">
        <x:f>VLOOKUP(M487,'분류기준'!$A$5:$B$8,2,FALSE)</x:f>
        <x:v>연금보험</x:v>
      </x:c>
      <x:c r="O487" s="2" t="str">
        <x:v>특약 없음</x:v>
      </x:c>
      <x:c r="P487" s="2" t="str">
        <x:f>IF(O487="선택 안함","선택 안함",IF(O487="특약 없음","특약 없음","가입"))</x:f>
        <x:v>특약 없음</x:v>
      </x:c>
      <x:c r="Q487" s="2" t="str">
        <x:f>IF(P487="가입","가입","미가입")</x:f>
        <x:v>미가입</x:v>
      </x:c>
    </x:row>
    <x:row r="488" ht="23" customHeight="1">
      <x:c r="A488" s="2" t="str">
        <x:v>C0805</x:v>
      </x:c>
      <x:c r="B488" s="7" t="n">
        <x:v>42</x:v>
      </x:c>
      <x:c r="C488" s="2" t="str">
        <x:f>INT(B488/10)*10&amp;"대"</x:f>
        <x:v>40대</x:v>
      </x:c>
      <x:c r="D488" s="2" t="str">
        <x:v>여성</x:v>
      </x:c>
      <x:c r="E488" s="7" t="n">
        <x:v>6000</x:v>
      </x:c>
      <x:c r="F488" s="7" t="n">
        <x:v>1</x:v>
      </x:c>
      <x:c r="G488" s="2" t="str">
        <x:v>기혼</x:v>
      </x:c>
      <x:c r="H488" s="7" t="n">
        <x:v>2</x:v>
      </x:c>
      <x:c r="I488" s="2" t="str">
        <x:f>IF(H488&lt;3,H488&amp;"명","3명 이상")</x:f>
        <x:v>2명</x:v>
      </x:c>
      <x:c r="J488" s="2" t="str">
        <x:v>비흡연</x:v>
      </x:c>
      <x:c r="K488" s="2" t="str">
        <x:v>없음</x:v>
      </x:c>
      <x:c r="L488" s="2" t="str">
        <x:v>없음</x:v>
      </x:c>
      <x:c r="M488" s="2" t="str">
        <x:v>수호천사 우리가족 종신보험</x:v>
      </x:c>
      <x:c r="N488" s="2" t="str">
        <x:f>VLOOKUP(M488,'분류기준'!$A$5:$B$8,2,FALSE)</x:f>
        <x:v>종신보험</x:v>
      </x:c>
      <x:c r="O488" s="2" t="str">
        <x:v>선택 안함</x:v>
      </x:c>
      <x:c r="P488" s="2" t="str">
        <x:f>IF(O488="선택 안함","선택 안함",IF(O488="특약 없음","특약 없음","가입"))</x:f>
        <x:v>선택 안함</x:v>
      </x:c>
      <x:c r="Q488" s="2" t="str">
        <x:f>IF(P488="가입","가입","미가입")</x:f>
        <x:v>미가입</x:v>
      </x:c>
    </x:row>
    <x:row r="489" ht="23" customHeight="1">
      <x:c r="A489" s="2" t="str">
        <x:v>C0857</x:v>
      </x:c>
      <x:c r="B489" s="7" t="n">
        <x:v>42</x:v>
      </x:c>
      <x:c r="C489" s="2" t="str">
        <x:f>INT(B489/10)*10&amp;"대"</x:f>
        <x:v>40대</x:v>
      </x:c>
      <x:c r="D489" s="2" t="str">
        <x:v>여성</x:v>
      </x:c>
      <x:c r="E489" s="7" t="n">
        <x:v>6000</x:v>
      </x:c>
      <x:c r="F489" s="7" t="n">
        <x:v>1</x:v>
      </x:c>
      <x:c r="G489" s="2" t="str">
        <x:v>기혼</x:v>
      </x:c>
      <x:c r="H489" s="7" t="n">
        <x:v>2</x:v>
      </x:c>
      <x:c r="I489" s="2" t="str">
        <x:f>IF(H489&lt;3,H489&amp;"명","3명 이상")</x:f>
        <x:v>2명</x:v>
      </x:c>
      <x:c r="J489" s="2" t="str">
        <x:v>비흡연</x:v>
      </x:c>
      <x:c r="K489" s="2" t="str">
        <x:v>고혈압</x:v>
      </x:c>
      <x:c r="L489" s="2" t="str">
        <x:v>없음</x:v>
      </x:c>
      <x:c r="M489" s="2" t="str">
        <x:v>수호천사 우리가족 종신보험</x:v>
      </x:c>
      <x:c r="N489" s="2" t="str">
        <x:f>VLOOKUP(M489,'분류기준'!$A$5:$B$8,2,FALSE)</x:f>
        <x:v>종신보험</x:v>
      </x:c>
      <x:c r="O489" s="2" t="str">
        <x:v>가족 수입 보장 특약</x:v>
      </x:c>
      <x:c r="P489" s="2" t="str">
        <x:f>IF(O489="선택 안함","선택 안함",IF(O489="특약 없음","특약 없음","가입"))</x:f>
        <x:v>가입</x:v>
      </x:c>
      <x:c r="Q489" s="2" t="str">
        <x:f>IF(P489="가입","가입","미가입")</x:f>
        <x:v>가입</x:v>
      </x:c>
    </x:row>
    <x:row r="490" ht="23" customHeight="1">
      <x:c r="A490" s="2" t="str">
        <x:v>C0866</x:v>
      </x:c>
      <x:c r="B490" s="7" t="n">
        <x:v>42</x:v>
      </x:c>
      <x:c r="C490" s="2" t="str">
        <x:f>INT(B490/10)*10&amp;"대"</x:f>
        <x:v>40대</x:v>
      </x:c>
      <x:c r="D490" s="2" t="str">
        <x:v>남성</x:v>
      </x:c>
      <x:c r="E490" s="7" t="n">
        <x:v>5000</x:v>
      </x:c>
      <x:c r="F490" s="7" t="n">
        <x:v>3</x:v>
      </x:c>
      <x:c r="G490" s="2" t="str">
        <x:v>미혼</x:v>
      </x:c>
      <x:c r="H490" s="7" t="n">
        <x:v>0</x:v>
      </x:c>
      <x:c r="I490" s="2" t="str">
        <x:f>IF(H490&lt;3,H490&amp;"명","3명 이상")</x:f>
        <x:v>0명</x:v>
      </x:c>
      <x:c r="J490" s="2" t="str">
        <x:v>비흡연</x:v>
      </x:c>
      <x:c r="K490" s="2" t="str">
        <x:v>고혈압</x:v>
      </x:c>
      <x:c r="L490" s="2" t="str">
        <x:v>암</x:v>
      </x:c>
      <x:c r="M490" s="2" t="str">
        <x:v>수호천사 우리가족 종신보험</x:v>
      </x:c>
      <x:c r="N490" s="2" t="str">
        <x:f>VLOOKUP(M490,'분류기준'!$A$5:$B$8,2,FALSE)</x:f>
        <x:v>종신보험</x:v>
      </x:c>
      <x:c r="O490" s="2" t="str">
        <x:v>가족 수입 보장 특약</x:v>
      </x:c>
      <x:c r="P490" s="2" t="str">
        <x:f>IF(O490="선택 안함","선택 안함",IF(O490="특약 없음","특약 없음","가입"))</x:f>
        <x:v>가입</x:v>
      </x:c>
      <x:c r="Q490" s="2" t="str">
        <x:f>IF(P490="가입","가입","미가입")</x:f>
        <x:v>가입</x:v>
      </x:c>
    </x:row>
    <x:row r="491" ht="23" customHeight="1">
      <x:c r="A491" s="2" t="str">
        <x:v>C0970</x:v>
      </x:c>
      <x:c r="B491" s="7" t="n">
        <x:v>42</x:v>
      </x:c>
      <x:c r="C491" s="2" t="str">
        <x:f>INT(B491/10)*10&amp;"대"</x:f>
        <x:v>40대</x:v>
      </x:c>
      <x:c r="D491" s="2" t="str">
        <x:v>여성</x:v>
      </x:c>
      <x:c r="E491" s="7" t="n">
        <x:v>6000</x:v>
      </x:c>
      <x:c r="F491" s="7" t="n">
        <x:v>1</x:v>
      </x:c>
      <x:c r="G491" s="2" t="str">
        <x:v>미혼</x:v>
      </x:c>
      <x:c r="H491" s="7" t="n">
        <x:v>0</x:v>
      </x:c>
      <x:c r="I491" s="2" t="str">
        <x:f>IF(H491&lt;3,H491&amp;"명","3명 이상")</x:f>
        <x:v>0명</x:v>
      </x:c>
      <x:c r="J491" s="2" t="str">
        <x:v>비흡연</x:v>
      </x:c>
      <x:c r="K491" s="2" t="str">
        <x:v>없음</x:v>
      </x:c>
      <x:c r="L491" s="2" t="str">
        <x:v>암</x:v>
      </x:c>
      <x:c r="M491" s="2" t="str">
        <x:v>수호천사 행복 연금보험</x:v>
      </x:c>
      <x:c r="N491" s="2" t="str">
        <x:f>VLOOKUP(M491,'분류기준'!$A$5:$B$8,2,FALSE)</x:f>
        <x:v>연금보험</x:v>
      </x:c>
      <x:c r="O491" s="2" t="str">
        <x:v>특약 없음</x:v>
      </x:c>
      <x:c r="P491" s="2" t="str">
        <x:f>IF(O491="선택 안함","선택 안함",IF(O491="특약 없음","특약 없음","가입"))</x:f>
        <x:v>특약 없음</x:v>
      </x:c>
      <x:c r="Q491" s="2" t="str">
        <x:f>IF(P491="가입","가입","미가입")</x:f>
        <x:v>미가입</x:v>
      </x:c>
    </x:row>
    <x:row r="492" ht="23" customHeight="1">
      <x:c r="A492" s="2" t="str">
        <x:v>C0012</x:v>
      </x:c>
      <x:c r="B492" s="7" t="n">
        <x:v>43</x:v>
      </x:c>
      <x:c r="C492" s="2" t="str">
        <x:f>INT(B492/10)*10&amp;"대"</x:f>
        <x:v>40대</x:v>
      </x:c>
      <x:c r="D492" s="2" t="str">
        <x:v>남성</x:v>
      </x:c>
      <x:c r="E492" s="7" t="n">
        <x:v>6000</x:v>
      </x:c>
      <x:c r="F492" s="7" t="n">
        <x:v>1</x:v>
      </x:c>
      <x:c r="G492" s="2" t="str">
        <x:v>미혼</x:v>
      </x:c>
      <x:c r="H492" s="7" t="n">
        <x:v>0</x:v>
      </x:c>
      <x:c r="I492" s="2" t="str">
        <x:f>IF(H492&lt;3,H492&amp;"명","3명 이상")</x:f>
        <x:v>0명</x:v>
      </x:c>
      <x:c r="J492" s="2" t="str">
        <x:v>비흡연</x:v>
      </x:c>
      <x:c r="K492" s="2" t="str">
        <x:v>없음</x:v>
      </x:c>
      <x:c r="L492" s="2" t="str">
        <x:v>없음</x:v>
      </x:c>
      <x:c r="M492" s="2" t="str">
        <x:v>수호천사 행복 연금보험</x:v>
      </x:c>
      <x:c r="N492" s="2" t="str">
        <x:f>VLOOKUP(M492,'분류기준'!$A$5:$B$8,2,FALSE)</x:f>
        <x:v>연금보험</x:v>
      </x:c>
      <x:c r="O492" s="2" t="str">
        <x:v>특약 없음</x:v>
      </x:c>
      <x:c r="P492" s="2" t="str">
        <x:f>IF(O492="선택 안함","선택 안함",IF(O492="특약 없음","특약 없음","가입"))</x:f>
        <x:v>특약 없음</x:v>
      </x:c>
      <x:c r="Q492" s="2" t="str">
        <x:f>IF(P492="가입","가입","미가입")</x:f>
        <x:v>미가입</x:v>
      </x:c>
    </x:row>
    <x:row r="493" ht="23" customHeight="1">
      <x:c r="A493" s="2" t="str">
        <x:v>C0015</x:v>
      </x:c>
      <x:c r="B493" s="7" t="n">
        <x:v>43</x:v>
      </x:c>
      <x:c r="C493" s="2" t="str">
        <x:f>INT(B493/10)*10&amp;"대"</x:f>
        <x:v>40대</x:v>
      </x:c>
      <x:c r="D493" s="2" t="str">
        <x:v>남성</x:v>
      </x:c>
      <x:c r="E493" s="7" t="n">
        <x:v>4000</x:v>
      </x:c>
      <x:c r="F493" s="7" t="n">
        <x:v>1</x:v>
      </x:c>
      <x:c r="G493" s="2" t="str">
        <x:v>기혼</x:v>
      </x:c>
      <x:c r="H493" s="7" t="n">
        <x:v>1</x:v>
      </x:c>
      <x:c r="I493" s="2" t="str">
        <x:f>IF(H493&lt;3,H493&amp;"명","3명 이상")</x:f>
        <x:v>1명</x:v>
      </x:c>
      <x:c r="J493" s="2" t="str">
        <x:v>비흡연</x:v>
      </x:c>
      <x:c r="K493" s="2" t="str">
        <x:v>없음</x:v>
      </x:c>
      <x:c r="L493" s="2" t="str">
        <x:v>없음</x:v>
      </x:c>
      <x:c r="M493" s="2" t="str">
        <x:v>수호천사 우리가족 종신보험</x:v>
      </x:c>
      <x:c r="N493" s="2" t="str">
        <x:f>VLOOKUP(M493,'분류기준'!$A$5:$B$8,2,FALSE)</x:f>
        <x:v>종신보험</x:v>
      </x:c>
      <x:c r="O493" s="2" t="str">
        <x:v>선택 안함</x:v>
      </x:c>
      <x:c r="P493" s="2" t="str">
        <x:f>IF(O493="선택 안함","선택 안함",IF(O493="특약 없음","특약 없음","가입"))</x:f>
        <x:v>선택 안함</x:v>
      </x:c>
      <x:c r="Q493" s="2" t="str">
        <x:f>IF(P493="가입","가입","미가입")</x:f>
        <x:v>미가입</x:v>
      </x:c>
    </x:row>
    <x:row r="494" ht="23" customHeight="1">
      <x:c r="A494" s="2" t="str">
        <x:v>C0019</x:v>
      </x:c>
      <x:c r="B494" s="7" t="n">
        <x:v>43</x:v>
      </x:c>
      <x:c r="C494" s="2" t="str">
        <x:f>INT(B494/10)*10&amp;"대"</x:f>
        <x:v>40대</x:v>
      </x:c>
      <x:c r="D494" s="2" t="str">
        <x:v>여성</x:v>
      </x:c>
      <x:c r="E494" s="7" t="n">
        <x:v>4000</x:v>
      </x:c>
      <x:c r="F494" s="7" t="n">
        <x:v>2</x:v>
      </x:c>
      <x:c r="G494" s="2" t="str">
        <x:v>미혼</x:v>
      </x:c>
      <x:c r="H494" s="7" t="n">
        <x:v>0</x:v>
      </x:c>
      <x:c r="I494" s="2" t="str">
        <x:f>IF(H494&lt;3,H494&amp;"명","3명 이상")</x:f>
        <x:v>0명</x:v>
      </x:c>
      <x:c r="J494" s="2" t="str">
        <x:v>비흡연</x:v>
      </x:c>
      <x:c r="K494" s="2" t="str">
        <x:v>없음</x:v>
      </x:c>
      <x:c r="L494" s="2" t="str">
        <x:v>암</x:v>
      </x:c>
      <x:c r="M494" s="2" t="str">
        <x:v>수호천사 암/건강보험</x:v>
      </x:c>
      <x:c r="N494" s="2" t="str">
        <x:f>VLOOKUP(M494,'분류기준'!$A$5:$B$8,2,FALSE)</x:f>
        <x:v>암/건강보험</x:v>
      </x:c>
      <x:c r="O494" s="2" t="str">
        <x:v>표적항암약물허가치료 특약</x:v>
      </x:c>
      <x:c r="P494" s="2" t="str">
        <x:f>IF(O494="선택 안함","선택 안함",IF(O494="특약 없음","특약 없음","가입"))</x:f>
        <x:v>가입</x:v>
      </x:c>
      <x:c r="Q494" s="2" t="str">
        <x:f>IF(P494="가입","가입","미가입")</x:f>
        <x:v>가입</x:v>
      </x:c>
    </x:row>
    <x:row r="495" ht="23" customHeight="1">
      <x:c r="A495" s="2" t="str">
        <x:v>C0082</x:v>
      </x:c>
      <x:c r="B495" s="7" t="n">
        <x:v>43</x:v>
      </x:c>
      <x:c r="C495" s="2" t="str">
        <x:f>INT(B495/10)*10&amp;"대"</x:f>
        <x:v>40대</x:v>
      </x:c>
      <x:c r="D495" s="2" t="str">
        <x:v>남성</x:v>
      </x:c>
      <x:c r="E495" s="7" t="n">
        <x:v>12000</x:v>
      </x:c>
      <x:c r="F495" s="7" t="n">
        <x:v>3</x:v>
      </x:c>
      <x:c r="G495" s="2" t="str">
        <x:v>미혼</x:v>
      </x:c>
      <x:c r="H495" s="7" t="n">
        <x:v>0</x:v>
      </x:c>
      <x:c r="I495" s="2" t="str">
        <x:f>IF(H495&lt;3,H495&amp;"명","3명 이상")</x:f>
        <x:v>0명</x:v>
      </x:c>
      <x:c r="J495" s="2" t="str">
        <x:v>비흡연</x:v>
      </x:c>
      <x:c r="K495" s="2" t="str">
        <x:v>고혈압</x:v>
      </x:c>
      <x:c r="L495" s="2" t="str">
        <x:v>없음</x:v>
      </x:c>
      <x:c r="M495" s="2" t="str">
        <x:v>수호천사 간편심사(유병자)보험</x:v>
      </x:c>
      <x:c r="N495" s="2" t="str">
        <x:f>VLOOKUP(M495,'분류기준'!$A$5:$B$8,2,FALSE)</x:f>
        <x:v>간편심사보험</x:v>
      </x:c>
      <x:c r="O495" s="2" t="str">
        <x:v>중증질환 산정특례 보장 특약</x:v>
      </x:c>
      <x:c r="P495" s="2" t="str">
        <x:f>IF(O495="선택 안함","선택 안함",IF(O495="특약 없음","특약 없음","가입"))</x:f>
        <x:v>가입</x:v>
      </x:c>
      <x:c r="Q495" s="2" t="str">
        <x:f>IF(P495="가입","가입","미가입")</x:f>
        <x:v>가입</x:v>
      </x:c>
    </x:row>
    <x:row r="496" ht="23" customHeight="1">
      <x:c r="A496" s="2" t="str">
        <x:v>C0094</x:v>
      </x:c>
      <x:c r="B496" s="7" t="n">
        <x:v>43</x:v>
      </x:c>
      <x:c r="C496" s="2" t="str">
        <x:f>INT(B496/10)*10&amp;"대"</x:f>
        <x:v>40대</x:v>
      </x:c>
      <x:c r="D496" s="2" t="str">
        <x:v>여성</x:v>
      </x:c>
      <x:c r="E496" s="7" t="n">
        <x:v>6000</x:v>
      </x:c>
      <x:c r="F496" s="7" t="n">
        <x:v>1</x:v>
      </x:c>
      <x:c r="G496" s="2" t="str">
        <x:v>기혼</x:v>
      </x:c>
      <x:c r="H496" s="7" t="n">
        <x:v>2</x:v>
      </x:c>
      <x:c r="I496" s="2" t="str">
        <x:f>IF(H496&lt;3,H496&amp;"명","3명 이상")</x:f>
        <x:v>2명</x:v>
      </x:c>
      <x:c r="J496" s="2" t="str">
        <x:v>비흡연</x:v>
      </x:c>
      <x:c r="K496" s="2" t="str">
        <x:v>없음</x:v>
      </x:c>
      <x:c r="L496" s="2" t="str">
        <x:v>암</x:v>
      </x:c>
      <x:c r="M496" s="2" t="str">
        <x:v>수호천사 우리가족 종신보험</x:v>
      </x:c>
      <x:c r="N496" s="2" t="str">
        <x:f>VLOOKUP(M496,'분류기준'!$A$5:$B$8,2,FALSE)</x:f>
        <x:v>종신보험</x:v>
      </x:c>
      <x:c r="O496" s="2" t="str">
        <x:v>가족 수입 보장 특약</x:v>
      </x:c>
      <x:c r="P496" s="2" t="str">
        <x:f>IF(O496="선택 안함","선택 안함",IF(O496="특약 없음","특약 없음","가입"))</x:f>
        <x:v>가입</x:v>
      </x:c>
      <x:c r="Q496" s="2" t="str">
        <x:f>IF(P496="가입","가입","미가입")</x:f>
        <x:v>가입</x:v>
      </x:c>
    </x:row>
    <x:row r="497" ht="23" customHeight="1">
      <x:c r="A497" s="2" t="str">
        <x:v>C0098</x:v>
      </x:c>
      <x:c r="B497" s="7" t="n">
        <x:v>43</x:v>
      </x:c>
      <x:c r="C497" s="2" t="str">
        <x:f>INT(B497/10)*10&amp;"대"</x:f>
        <x:v>40대</x:v>
      </x:c>
      <x:c r="D497" s="2" t="str">
        <x:v>여성</x:v>
      </x:c>
      <x:c r="E497" s="7" t="n">
        <x:v>3000</x:v>
      </x:c>
      <x:c r="F497" s="7" t="n">
        <x:v>1</x:v>
      </x:c>
      <x:c r="G497" s="2" t="str">
        <x:v>기혼</x:v>
      </x:c>
      <x:c r="H497" s="7" t="n">
        <x:v>2</x:v>
      </x:c>
      <x:c r="I497" s="2" t="str">
        <x:f>IF(H497&lt;3,H497&amp;"명","3명 이상")</x:f>
        <x:v>2명</x:v>
      </x:c>
      <x:c r="J497" s="2" t="str">
        <x:v>흡연</x:v>
      </x:c>
      <x:c r="K497" s="2" t="str">
        <x:v>고혈압</x:v>
      </x:c>
      <x:c r="L497" s="2" t="str">
        <x:v>심혈관</x:v>
      </x:c>
      <x:c r="M497" s="2" t="str">
        <x:v>수호천사 우리가족 종신보험</x:v>
      </x:c>
      <x:c r="N497" s="2" t="str">
        <x:f>VLOOKUP(M497,'분류기준'!$A$5:$B$8,2,FALSE)</x:f>
        <x:v>종신보험</x:v>
      </x:c>
      <x:c r="O497" s="2" t="str">
        <x:v>가족 수입 보장 특약</x:v>
      </x:c>
      <x:c r="P497" s="2" t="str">
        <x:f>IF(O497="선택 안함","선택 안함",IF(O497="특약 없음","특약 없음","가입"))</x:f>
        <x:v>가입</x:v>
      </x:c>
      <x:c r="Q497" s="2" t="str">
        <x:f>IF(P497="가입","가입","미가입")</x:f>
        <x:v>가입</x:v>
      </x:c>
    </x:row>
    <x:row r="498" ht="23" customHeight="1">
      <x:c r="A498" s="2" t="str">
        <x:v>C0117</x:v>
      </x:c>
      <x:c r="B498" s="7" t="n">
        <x:v>43</x:v>
      </x:c>
      <x:c r="C498" s="2" t="str">
        <x:f>INT(B498/10)*10&amp;"대"</x:f>
        <x:v>40대</x:v>
      </x:c>
      <x:c r="D498" s="2" t="str">
        <x:v>남성</x:v>
      </x:c>
      <x:c r="E498" s="7" t="n">
        <x:v>3000</x:v>
      </x:c>
      <x:c r="F498" s="7" t="n">
        <x:v>1</x:v>
      </x:c>
      <x:c r="G498" s="2" t="str">
        <x:v>기혼</x:v>
      </x:c>
      <x:c r="H498" s="7" t="n">
        <x:v>1</x:v>
      </x:c>
      <x:c r="I498" s="2" t="str">
        <x:f>IF(H498&lt;3,H498&amp;"명","3명 이상")</x:f>
        <x:v>1명</x:v>
      </x:c>
      <x:c r="J498" s="2" t="str">
        <x:v>비흡연</x:v>
      </x:c>
      <x:c r="K498" s="2" t="str">
        <x:v>없음</x:v>
      </x:c>
      <x:c r="L498" s="2" t="str">
        <x:v>암</x:v>
      </x:c>
      <x:c r="M498" s="2" t="str">
        <x:v>수호천사 암/건강보험</x:v>
      </x:c>
      <x:c r="N498" s="2" t="str">
        <x:f>VLOOKUP(M498,'분류기준'!$A$5:$B$8,2,FALSE)</x:f>
        <x:v>암/건강보험</x:v>
      </x:c>
      <x:c r="O498" s="2" t="str">
        <x:v>표적항암약물허가치료 특약</x:v>
      </x:c>
      <x:c r="P498" s="2" t="str">
        <x:f>IF(O498="선택 안함","선택 안함",IF(O498="특약 없음","특약 없음","가입"))</x:f>
        <x:v>가입</x:v>
      </x:c>
      <x:c r="Q498" s="2" t="str">
        <x:f>IF(P498="가입","가입","미가입")</x:f>
        <x:v>가입</x:v>
      </x:c>
    </x:row>
    <x:row r="499" ht="23" customHeight="1">
      <x:c r="A499" s="2" t="str">
        <x:v>C0189</x:v>
      </x:c>
      <x:c r="B499" s="7" t="n">
        <x:v>43</x:v>
      </x:c>
      <x:c r="C499" s="2" t="str">
        <x:f>INT(B499/10)*10&amp;"대"</x:f>
        <x:v>40대</x:v>
      </x:c>
      <x:c r="D499" s="2" t="str">
        <x:v>여성</x:v>
      </x:c>
      <x:c r="E499" s="7" t="n">
        <x:v>5000</x:v>
      </x:c>
      <x:c r="F499" s="7" t="n">
        <x:v>1</x:v>
      </x:c>
      <x:c r="G499" s="2" t="str">
        <x:v>기혼</x:v>
      </x:c>
      <x:c r="H499" s="7" t="n">
        <x:v>1</x:v>
      </x:c>
      <x:c r="I499" s="2" t="str">
        <x:f>IF(H499&lt;3,H499&amp;"명","3명 이상")</x:f>
        <x:v>1명</x:v>
      </x:c>
      <x:c r="J499" s="2" t="str">
        <x:v>비흡연</x:v>
      </x:c>
      <x:c r="K499" s="2" t="str">
        <x:v>없음</x:v>
      </x:c>
      <x:c r="L499" s="2" t="str">
        <x:v>심혈관</x:v>
      </x:c>
      <x:c r="M499" s="2" t="str">
        <x:v>수호천사 우리가족 종신보험</x:v>
      </x:c>
      <x:c r="N499" s="2" t="str">
        <x:f>VLOOKUP(M499,'분류기준'!$A$5:$B$8,2,FALSE)</x:f>
        <x:v>종신보험</x:v>
      </x:c>
      <x:c r="O499" s="2" t="str">
        <x:v>선택 안함</x:v>
      </x:c>
      <x:c r="P499" s="2" t="str">
        <x:f>IF(O499="선택 안함","선택 안함",IF(O499="특약 없음","특약 없음","가입"))</x:f>
        <x:v>선택 안함</x:v>
      </x:c>
      <x:c r="Q499" s="2" t="str">
        <x:f>IF(P499="가입","가입","미가입")</x:f>
        <x:v>미가입</x:v>
      </x:c>
    </x:row>
    <x:row r="500" ht="23" customHeight="1">
      <x:c r="A500" s="2" t="str">
        <x:v>C0193</x:v>
      </x:c>
      <x:c r="B500" s="7" t="n">
        <x:v>43</x:v>
      </x:c>
      <x:c r="C500" s="2" t="str">
        <x:f>INT(B500/10)*10&amp;"대"</x:f>
        <x:v>40대</x:v>
      </x:c>
      <x:c r="D500" s="2" t="str">
        <x:v>여성</x:v>
      </x:c>
      <x:c r="E500" s="7" t="n">
        <x:v>6000</x:v>
      </x:c>
      <x:c r="F500" s="7" t="n">
        <x:v>1</x:v>
      </x:c>
      <x:c r="G500" s="2" t="str">
        <x:v>기혼</x:v>
      </x:c>
      <x:c r="H500" s="7" t="n">
        <x:v>3</x:v>
      </x:c>
      <x:c r="I500" s="2" t="str">
        <x:f>IF(H500&lt;3,H500&amp;"명","3명 이상")</x:f>
        <x:v>3명 이상</x:v>
      </x:c>
      <x:c r="J500" s="2" t="str">
        <x:v>흡연</x:v>
      </x:c>
      <x:c r="K500" s="2" t="str">
        <x:v>없음</x:v>
      </x:c>
      <x:c r="L500" s="2" t="str">
        <x:v>심혈관</x:v>
      </x:c>
      <x:c r="M500" s="2" t="str">
        <x:v>수호천사 암/건강보험</x:v>
      </x:c>
      <x:c r="N500" s="2" t="str">
        <x:f>VLOOKUP(M500,'분류기준'!$A$5:$B$8,2,FALSE)</x:f>
        <x:v>암/건강보험</x:v>
      </x:c>
      <x:c r="O500" s="2" t="str">
        <x:v>수술비 보장 특약</x:v>
      </x:c>
      <x:c r="P500" s="2" t="str">
        <x:f>IF(O500="선택 안함","선택 안함",IF(O500="특약 없음","특약 없음","가입"))</x:f>
        <x:v>가입</x:v>
      </x:c>
      <x:c r="Q500" s="2" t="str">
        <x:f>IF(P500="가입","가입","미가입")</x:f>
        <x:v>가입</x:v>
      </x:c>
    </x:row>
    <x:row r="501" ht="23" customHeight="1">
      <x:c r="A501" s="2" t="str">
        <x:v>C0220</x:v>
      </x:c>
      <x:c r="B501" s="7" t="n">
        <x:v>43</x:v>
      </x:c>
      <x:c r="C501" s="2" t="str">
        <x:f>INT(B501/10)*10&amp;"대"</x:f>
        <x:v>40대</x:v>
      </x:c>
      <x:c r="D501" s="2" t="str">
        <x:v>남성</x:v>
      </x:c>
      <x:c r="E501" s="7" t="n">
        <x:v>12000</x:v>
      </x:c>
      <x:c r="F501" s="7" t="n">
        <x:v>1</x:v>
      </x:c>
      <x:c r="G501" s="2" t="str">
        <x:v>기혼</x:v>
      </x:c>
      <x:c r="H501" s="7" t="n">
        <x:v>2</x:v>
      </x:c>
      <x:c r="I501" s="2" t="str">
        <x:f>IF(H501&lt;3,H501&amp;"명","3명 이상")</x:f>
        <x:v>2명</x:v>
      </x:c>
      <x:c r="J501" s="2" t="str">
        <x:v>비흡연</x:v>
      </x:c>
      <x:c r="K501" s="2" t="str">
        <x:v>고혈압</x:v>
      </x:c>
      <x:c r="L501" s="2" t="str">
        <x:v>없음</x:v>
      </x:c>
      <x:c r="M501" s="2" t="str">
        <x:v>수호천사 간편심사(유병자)보험</x:v>
      </x:c>
      <x:c r="N501" s="2" t="str">
        <x:f>VLOOKUP(M501,'분류기준'!$A$5:$B$8,2,FALSE)</x:f>
        <x:v>간편심사보험</x:v>
      </x:c>
      <x:c r="O501" s="2" t="str">
        <x:v>선택 안함</x:v>
      </x:c>
      <x:c r="P501" s="2" t="str">
        <x:f>IF(O501="선택 안함","선택 안함",IF(O501="특약 없음","특약 없음","가입"))</x:f>
        <x:v>선택 안함</x:v>
      </x:c>
      <x:c r="Q501" s="2" t="str">
        <x:f>IF(P501="가입","가입","미가입")</x:f>
        <x:v>미가입</x:v>
      </x:c>
    </x:row>
    <x:row r="502" ht="23" customHeight="1">
      <x:c r="A502" s="2" t="str">
        <x:v>C0273</x:v>
      </x:c>
      <x:c r="B502" s="7" t="n">
        <x:v>43</x:v>
      </x:c>
      <x:c r="C502" s="2" t="str">
        <x:f>INT(B502/10)*10&amp;"대"</x:f>
        <x:v>40대</x:v>
      </x:c>
      <x:c r="D502" s="2" t="str">
        <x:v>여성</x:v>
      </x:c>
      <x:c r="E502" s="7" t="n">
        <x:v>5000</x:v>
      </x:c>
      <x:c r="F502" s="7" t="n">
        <x:v>2</x:v>
      </x:c>
      <x:c r="G502" s="2" t="str">
        <x:v>미혼</x:v>
      </x:c>
      <x:c r="H502" s="7" t="n">
        <x:v>0</x:v>
      </x:c>
      <x:c r="I502" s="2" t="str">
        <x:f>IF(H502&lt;3,H502&amp;"명","3명 이상")</x:f>
        <x:v>0명</x:v>
      </x:c>
      <x:c r="J502" s="2" t="str">
        <x:v>비흡연</x:v>
      </x:c>
      <x:c r="K502" s="2" t="str">
        <x:v>없음</x:v>
      </x:c>
      <x:c r="L502" s="2" t="str">
        <x:v>암</x:v>
      </x:c>
      <x:c r="M502" s="2" t="str">
        <x:v>수호천사 행복 연금보험</x:v>
      </x:c>
      <x:c r="N502" s="2" t="str">
        <x:f>VLOOKUP(M502,'분류기준'!$A$5:$B$8,2,FALSE)</x:f>
        <x:v>연금보험</x:v>
      </x:c>
      <x:c r="O502" s="2" t="str">
        <x:v>특약 없음</x:v>
      </x:c>
      <x:c r="P502" s="2" t="str">
        <x:f>IF(O502="선택 안함","선택 안함",IF(O502="특약 없음","특약 없음","가입"))</x:f>
        <x:v>특약 없음</x:v>
      </x:c>
      <x:c r="Q502" s="2" t="str">
        <x:f>IF(P502="가입","가입","미가입")</x:f>
        <x:v>미가입</x:v>
      </x:c>
    </x:row>
    <x:row r="503" ht="23" customHeight="1">
      <x:c r="A503" s="2" t="str">
        <x:v>C0275</x:v>
      </x:c>
      <x:c r="B503" s="7" t="n">
        <x:v>43</x:v>
      </x:c>
      <x:c r="C503" s="2" t="str">
        <x:f>INT(B503/10)*10&amp;"대"</x:f>
        <x:v>40대</x:v>
      </x:c>
      <x:c r="D503" s="2" t="str">
        <x:v>여성</x:v>
      </x:c>
      <x:c r="E503" s="7" t="n">
        <x:v>4000</x:v>
      </x:c>
      <x:c r="F503" s="7" t="n">
        <x:v>1</x:v>
      </x:c>
      <x:c r="G503" s="2" t="str">
        <x:v>기혼</x:v>
      </x:c>
      <x:c r="H503" s="7" t="n">
        <x:v>0</x:v>
      </x:c>
      <x:c r="I503" s="2" t="str">
        <x:f>IF(H503&lt;3,H503&amp;"명","3명 이상")</x:f>
        <x:v>0명</x:v>
      </x:c>
      <x:c r="J503" s="2" t="str">
        <x:v>비흡연</x:v>
      </x:c>
      <x:c r="K503" s="2" t="str">
        <x:v>고혈압</x:v>
      </x:c>
      <x:c r="L503" s="2" t="str">
        <x:v>없음</x:v>
      </x:c>
      <x:c r="M503" s="2" t="str">
        <x:v>수호천사 행복 연금보험</x:v>
      </x:c>
      <x:c r="N503" s="2" t="str">
        <x:f>VLOOKUP(M503,'분류기준'!$A$5:$B$8,2,FALSE)</x:f>
        <x:v>연금보험</x:v>
      </x:c>
      <x:c r="O503" s="2" t="str">
        <x:v>특약 없음</x:v>
      </x:c>
      <x:c r="P503" s="2" t="str">
        <x:f>IF(O503="선택 안함","선택 안함",IF(O503="특약 없음","특약 없음","가입"))</x:f>
        <x:v>특약 없음</x:v>
      </x:c>
      <x:c r="Q503" s="2" t="str">
        <x:f>IF(P503="가입","가입","미가입")</x:f>
        <x:v>미가입</x:v>
      </x:c>
    </x:row>
    <x:row r="504" ht="23" customHeight="1">
      <x:c r="A504" s="2" t="str">
        <x:v>C0337</x:v>
      </x:c>
      <x:c r="B504" s="7" t="n">
        <x:v>43</x:v>
      </x:c>
      <x:c r="C504" s="2" t="str">
        <x:f>INT(B504/10)*10&amp;"대"</x:f>
        <x:v>40대</x:v>
      </x:c>
      <x:c r="D504" s="2" t="str">
        <x:v>여성</x:v>
      </x:c>
      <x:c r="E504" s="7" t="n">
        <x:v>4000</x:v>
      </x:c>
      <x:c r="F504" s="7" t="n">
        <x:v>1</x:v>
      </x:c>
      <x:c r="G504" s="2" t="str">
        <x:v>기혼</x:v>
      </x:c>
      <x:c r="H504" s="7" t="n">
        <x:v>2</x:v>
      </x:c>
      <x:c r="I504" s="2" t="str">
        <x:f>IF(H504&lt;3,H504&amp;"명","3명 이상")</x:f>
        <x:v>2명</x:v>
      </x:c>
      <x:c r="J504" s="2" t="str">
        <x:v>비흡연</x:v>
      </x:c>
      <x:c r="K504" s="2" t="str">
        <x:v>없음</x:v>
      </x:c>
      <x:c r="L504" s="2" t="str">
        <x:v>암</x:v>
      </x:c>
      <x:c r="M504" s="2" t="str">
        <x:v>수호천사 우리가족 종신보험</x:v>
      </x:c>
      <x:c r="N504" s="2" t="str">
        <x:f>VLOOKUP(M504,'분류기준'!$A$5:$B$8,2,FALSE)</x:f>
        <x:v>종신보험</x:v>
      </x:c>
      <x:c r="O504" s="2" t="str">
        <x:v>가족 수입 보장 특약</x:v>
      </x:c>
      <x:c r="P504" s="2" t="str">
        <x:f>IF(O504="선택 안함","선택 안함",IF(O504="특약 없음","특약 없음","가입"))</x:f>
        <x:v>가입</x:v>
      </x:c>
      <x:c r="Q504" s="2" t="str">
        <x:f>IF(P504="가입","가입","미가입")</x:f>
        <x:v>가입</x:v>
      </x:c>
    </x:row>
    <x:row r="505" ht="23" customHeight="1">
      <x:c r="A505" s="2" t="str">
        <x:v>C0355</x:v>
      </x:c>
      <x:c r="B505" s="7" t="n">
        <x:v>43</x:v>
      </x:c>
      <x:c r="C505" s="2" t="str">
        <x:f>INT(B505/10)*10&amp;"대"</x:f>
        <x:v>40대</x:v>
      </x:c>
      <x:c r="D505" s="2" t="str">
        <x:v>남성</x:v>
      </x:c>
      <x:c r="E505" s="7" t="n">
        <x:v>5000</x:v>
      </x:c>
      <x:c r="F505" s="7" t="n">
        <x:v>1</x:v>
      </x:c>
      <x:c r="G505" s="2" t="str">
        <x:v>기혼</x:v>
      </x:c>
      <x:c r="H505" s="7" t="n">
        <x:v>1</x:v>
      </x:c>
      <x:c r="I505" s="2" t="str">
        <x:f>IF(H505&lt;3,H505&amp;"명","3명 이상")</x:f>
        <x:v>1명</x:v>
      </x:c>
      <x:c r="J505" s="2" t="str">
        <x:v>비흡연</x:v>
      </x:c>
      <x:c r="K505" s="2" t="str">
        <x:v>고혈압</x:v>
      </x:c>
      <x:c r="L505" s="2" t="str">
        <x:v>암</x:v>
      </x:c>
      <x:c r="M505" s="2" t="str">
        <x:v>수호천사 간편심사(유병자)보험</x:v>
      </x:c>
      <x:c r="N505" s="2" t="str">
        <x:f>VLOOKUP(M505,'분류기준'!$A$5:$B$8,2,FALSE)</x:f>
        <x:v>간편심사보험</x:v>
      </x:c>
      <x:c r="O505" s="2" t="str">
        <x:v>선택 안함</x:v>
      </x:c>
      <x:c r="P505" s="2" t="str">
        <x:f>IF(O505="선택 안함","선택 안함",IF(O505="특약 없음","특약 없음","가입"))</x:f>
        <x:v>선택 안함</x:v>
      </x:c>
      <x:c r="Q505" s="2" t="str">
        <x:f>IF(P505="가입","가입","미가입")</x:f>
        <x:v>미가입</x:v>
      </x:c>
    </x:row>
    <x:row r="506" ht="23" customHeight="1">
      <x:c r="A506" s="2" t="str">
        <x:v>C0375</x:v>
      </x:c>
      <x:c r="B506" s="7" t="n">
        <x:v>43</x:v>
      </x:c>
      <x:c r="C506" s="2" t="str">
        <x:f>INT(B506/10)*10&amp;"대"</x:f>
        <x:v>40대</x:v>
      </x:c>
      <x:c r="D506" s="2" t="str">
        <x:v>여성</x:v>
      </x:c>
      <x:c r="E506" s="7" t="n">
        <x:v>4000</x:v>
      </x:c>
      <x:c r="F506" s="7" t="n">
        <x:v>1</x:v>
      </x:c>
      <x:c r="G506" s="2" t="str">
        <x:v>미혼</x:v>
      </x:c>
      <x:c r="H506" s="7" t="n">
        <x:v>0</x:v>
      </x:c>
      <x:c r="I506" s="2" t="str">
        <x:f>IF(H506&lt;3,H506&amp;"명","3명 이상")</x:f>
        <x:v>0명</x:v>
      </x:c>
      <x:c r="J506" s="2" t="str">
        <x:v>비흡연</x:v>
      </x:c>
      <x:c r="K506" s="2" t="str">
        <x:v>없음</x:v>
      </x:c>
      <x:c r="L506" s="2" t="str">
        <x:v>없음</x:v>
      </x:c>
      <x:c r="M506" s="2" t="str">
        <x:v>수호천사 행복 연금보험</x:v>
      </x:c>
      <x:c r="N506" s="2" t="str">
        <x:f>VLOOKUP(M506,'분류기준'!$A$5:$B$8,2,FALSE)</x:f>
        <x:v>연금보험</x:v>
      </x:c>
      <x:c r="O506" s="2" t="str">
        <x:v>특약 없음</x:v>
      </x:c>
      <x:c r="P506" s="2" t="str">
        <x:f>IF(O506="선택 안함","선택 안함",IF(O506="특약 없음","특약 없음","가입"))</x:f>
        <x:v>특약 없음</x:v>
      </x:c>
      <x:c r="Q506" s="2" t="str">
        <x:f>IF(P506="가입","가입","미가입")</x:f>
        <x:v>미가입</x:v>
      </x:c>
    </x:row>
    <x:row r="507" ht="23" customHeight="1">
      <x:c r="A507" s="2" t="str">
        <x:v>C0480</x:v>
      </x:c>
      <x:c r="B507" s="7" t="n">
        <x:v>43</x:v>
      </x:c>
      <x:c r="C507" s="2" t="str">
        <x:f>INT(B507/10)*10&amp;"대"</x:f>
        <x:v>40대</x:v>
      </x:c>
      <x:c r="D507" s="2" t="str">
        <x:v>여성</x:v>
      </x:c>
      <x:c r="E507" s="7" t="n">
        <x:v>3000</x:v>
      </x:c>
      <x:c r="F507" s="7" t="n">
        <x:v>1</x:v>
      </x:c>
      <x:c r="G507" s="2" t="str">
        <x:v>미혼</x:v>
      </x:c>
      <x:c r="H507" s="7" t="n">
        <x:v>0</x:v>
      </x:c>
      <x:c r="I507" s="2" t="str">
        <x:f>IF(H507&lt;3,H507&amp;"명","3명 이상")</x:f>
        <x:v>0명</x:v>
      </x:c>
      <x:c r="J507" s="2" t="str">
        <x:v>흡연</x:v>
      </x:c>
      <x:c r="K507" s="2" t="str">
        <x:v>없음</x:v>
      </x:c>
      <x:c r="L507" s="2" t="str">
        <x:v>암</x:v>
      </x:c>
      <x:c r="M507" s="2" t="str">
        <x:v>수호천사 암/건강보험</x:v>
      </x:c>
      <x:c r="N507" s="2" t="str">
        <x:f>VLOOKUP(M507,'분류기준'!$A$5:$B$8,2,FALSE)</x:f>
        <x:v>암/건강보험</x:v>
      </x:c>
      <x:c r="O507" s="2" t="str">
        <x:v>수술비 보장 특약</x:v>
      </x:c>
      <x:c r="P507" s="2" t="str">
        <x:f>IF(O507="선택 안함","선택 안함",IF(O507="특약 없음","특약 없음","가입"))</x:f>
        <x:v>가입</x:v>
      </x:c>
      <x:c r="Q507" s="2" t="str">
        <x:f>IF(P507="가입","가입","미가입")</x:f>
        <x:v>가입</x:v>
      </x:c>
    </x:row>
    <x:row r="508" ht="23" customHeight="1">
      <x:c r="A508" s="2" t="str">
        <x:v>C0487</x:v>
      </x:c>
      <x:c r="B508" s="7" t="n">
        <x:v>43</x:v>
      </x:c>
      <x:c r="C508" s="2" t="str">
        <x:f>INT(B508/10)*10&amp;"대"</x:f>
        <x:v>40대</x:v>
      </x:c>
      <x:c r="D508" s="2" t="str">
        <x:v>여성</x:v>
      </x:c>
      <x:c r="E508" s="7" t="n">
        <x:v>7500</x:v>
      </x:c>
      <x:c r="F508" s="7" t="n">
        <x:v>1</x:v>
      </x:c>
      <x:c r="G508" s="2" t="str">
        <x:v>기혼</x:v>
      </x:c>
      <x:c r="H508" s="7" t="n">
        <x:v>2</x:v>
      </x:c>
      <x:c r="I508" s="2" t="str">
        <x:f>IF(H508&lt;3,H508&amp;"명","3명 이상")</x:f>
        <x:v>2명</x:v>
      </x:c>
      <x:c r="J508" s="2" t="str">
        <x:v>비흡연</x:v>
      </x:c>
      <x:c r="K508" s="2" t="str">
        <x:v>없음</x:v>
      </x:c>
      <x:c r="L508" s="2" t="str">
        <x:v>없음</x:v>
      </x:c>
      <x:c r="M508" s="2" t="str">
        <x:v>수호천사 우리가족 종신보험</x:v>
      </x:c>
      <x:c r="N508" s="2" t="str">
        <x:f>VLOOKUP(M508,'분류기준'!$A$5:$B$8,2,FALSE)</x:f>
        <x:v>종신보험</x:v>
      </x:c>
      <x:c r="O508" s="2" t="str">
        <x:v>가족 수입 보장 특약</x:v>
      </x:c>
      <x:c r="P508" s="2" t="str">
        <x:f>IF(O508="선택 안함","선택 안함",IF(O508="특약 없음","특약 없음","가입"))</x:f>
        <x:v>가입</x:v>
      </x:c>
      <x:c r="Q508" s="2" t="str">
        <x:f>IF(P508="가입","가입","미가입")</x:f>
        <x:v>가입</x:v>
      </x:c>
    </x:row>
    <x:row r="509" ht="23" customHeight="1">
      <x:c r="A509" s="2" t="str">
        <x:v>C0531</x:v>
      </x:c>
      <x:c r="B509" s="7" t="n">
        <x:v>43</x:v>
      </x:c>
      <x:c r="C509" s="2" t="str">
        <x:f>INT(B509/10)*10&amp;"대"</x:f>
        <x:v>40대</x:v>
      </x:c>
      <x:c r="D509" s="2" t="str">
        <x:v>여성</x:v>
      </x:c>
      <x:c r="E509" s="7" t="n">
        <x:v>3000</x:v>
      </x:c>
      <x:c r="F509" s="7" t="n">
        <x:v>3</x:v>
      </x:c>
      <x:c r="G509" s="2" t="str">
        <x:v>기혼</x:v>
      </x:c>
      <x:c r="H509" s="7" t="n">
        <x:v>1</x:v>
      </x:c>
      <x:c r="I509" s="2" t="str">
        <x:f>IF(H509&lt;3,H509&amp;"명","3명 이상")</x:f>
        <x:v>1명</x:v>
      </x:c>
      <x:c r="J509" s="2" t="str">
        <x:v>흡연</x:v>
      </x:c>
      <x:c r="K509" s="2" t="str">
        <x:v>없음</x:v>
      </x:c>
      <x:c r="L509" s="2" t="str">
        <x:v>암</x:v>
      </x:c>
      <x:c r="M509" s="2" t="str">
        <x:v>수호천사 암/건강보험</x:v>
      </x:c>
      <x:c r="N509" s="2" t="str">
        <x:f>VLOOKUP(M509,'분류기준'!$A$5:$B$8,2,FALSE)</x:f>
        <x:v>암/건강보험</x:v>
      </x:c>
      <x:c r="O509" s="2" t="str">
        <x:v>표적항암약물허가치료 특약</x:v>
      </x:c>
      <x:c r="P509" s="2" t="str">
        <x:f>IF(O509="선택 안함","선택 안함",IF(O509="특약 없음","특약 없음","가입"))</x:f>
        <x:v>가입</x:v>
      </x:c>
      <x:c r="Q509" s="2" t="str">
        <x:f>IF(P509="가입","가입","미가입")</x:f>
        <x:v>가입</x:v>
      </x:c>
    </x:row>
    <x:row r="510" ht="23" customHeight="1">
      <x:c r="A510" s="2" t="str">
        <x:v>C0538</x:v>
      </x:c>
      <x:c r="B510" s="7" t="n">
        <x:v>43</x:v>
      </x:c>
      <x:c r="C510" s="2" t="str">
        <x:f>INT(B510/10)*10&amp;"대"</x:f>
        <x:v>40대</x:v>
      </x:c>
      <x:c r="D510" s="2" t="str">
        <x:v>여성</x:v>
      </x:c>
      <x:c r="E510" s="7" t="n">
        <x:v>3000</x:v>
      </x:c>
      <x:c r="F510" s="7" t="n">
        <x:v>2</x:v>
      </x:c>
      <x:c r="G510" s="2" t="str">
        <x:v>기혼</x:v>
      </x:c>
      <x:c r="H510" s="7" t="n">
        <x:v>1</x:v>
      </x:c>
      <x:c r="I510" s="2" t="str">
        <x:f>IF(H510&lt;3,H510&amp;"명","3명 이상")</x:f>
        <x:v>1명</x:v>
      </x:c>
      <x:c r="J510" s="2" t="str">
        <x:v>흡연</x:v>
      </x:c>
      <x:c r="K510" s="2" t="str">
        <x:v>없음</x:v>
      </x:c>
      <x:c r="L510" s="2" t="str">
        <x:v>심혈관</x:v>
      </x:c>
      <x:c r="M510" s="2" t="str">
        <x:v>수호천사 우리가족 종신보험</x:v>
      </x:c>
      <x:c r="N510" s="2" t="str">
        <x:f>VLOOKUP(M510,'분류기준'!$A$5:$B$8,2,FALSE)</x:f>
        <x:v>종신보험</x:v>
      </x:c>
      <x:c r="O510" s="2" t="str">
        <x:v>가족 수입 보장 특약</x:v>
      </x:c>
      <x:c r="P510" s="2" t="str">
        <x:f>IF(O510="선택 안함","선택 안함",IF(O510="특약 없음","특약 없음","가입"))</x:f>
        <x:v>가입</x:v>
      </x:c>
      <x:c r="Q510" s="2" t="str">
        <x:f>IF(P510="가입","가입","미가입")</x:f>
        <x:v>가입</x:v>
      </x:c>
    </x:row>
    <x:row r="511" ht="23" customHeight="1">
      <x:c r="A511" s="2" t="str">
        <x:v>C0674</x:v>
      </x:c>
      <x:c r="B511" s="7" t="n">
        <x:v>43</x:v>
      </x:c>
      <x:c r="C511" s="2" t="str">
        <x:f>INT(B511/10)*10&amp;"대"</x:f>
        <x:v>40대</x:v>
      </x:c>
      <x:c r="D511" s="2" t="str">
        <x:v>남성</x:v>
      </x:c>
      <x:c r="E511" s="7" t="n">
        <x:v>4000</x:v>
      </x:c>
      <x:c r="F511" s="7" t="n">
        <x:v>1</x:v>
      </x:c>
      <x:c r="G511" s="2" t="str">
        <x:v>기혼</x:v>
      </x:c>
      <x:c r="H511" s="7" t="n">
        <x:v>2</x:v>
      </x:c>
      <x:c r="I511" s="2" t="str">
        <x:f>IF(H511&lt;3,H511&amp;"명","3명 이상")</x:f>
        <x:v>2명</x:v>
      </x:c>
      <x:c r="J511" s="2" t="str">
        <x:v>비흡연</x:v>
      </x:c>
      <x:c r="K511" s="2" t="str">
        <x:v>고혈압</x:v>
      </x:c>
      <x:c r="L511" s="2" t="str">
        <x:v>없음</x:v>
      </x:c>
      <x:c r="M511" s="2" t="str">
        <x:v>수호천사 간편심사(유병자)보험</x:v>
      </x:c>
      <x:c r="N511" s="2" t="str">
        <x:f>VLOOKUP(M511,'분류기준'!$A$5:$B$8,2,FALSE)</x:f>
        <x:v>간편심사보험</x:v>
      </x:c>
      <x:c r="O511" s="2" t="str">
        <x:v>중증질환 산정특례 보장 특약</x:v>
      </x:c>
      <x:c r="P511" s="2" t="str">
        <x:f>IF(O511="선택 안함","선택 안함",IF(O511="특약 없음","특약 없음","가입"))</x:f>
        <x:v>가입</x:v>
      </x:c>
      <x:c r="Q511" s="2" t="str">
        <x:f>IF(P511="가입","가입","미가입")</x:f>
        <x:v>가입</x:v>
      </x:c>
    </x:row>
    <x:row r="512" ht="23" customHeight="1">
      <x:c r="A512" s="2" t="str">
        <x:v>C0783</x:v>
      </x:c>
      <x:c r="B512" s="7" t="n">
        <x:v>43</x:v>
      </x:c>
      <x:c r="C512" s="2" t="str">
        <x:f>INT(B512/10)*10&amp;"대"</x:f>
        <x:v>40대</x:v>
      </x:c>
      <x:c r="D512" s="2" t="str">
        <x:v>여성</x:v>
      </x:c>
      <x:c r="E512" s="7" t="n">
        <x:v>3000</x:v>
      </x:c>
      <x:c r="F512" s="7" t="n">
        <x:v>1</x:v>
      </x:c>
      <x:c r="G512" s="2" t="str">
        <x:v>미혼</x:v>
      </x:c>
      <x:c r="H512" s="7" t="n">
        <x:v>0</x:v>
      </x:c>
      <x:c r="I512" s="2" t="str">
        <x:f>IF(H512&lt;3,H512&amp;"명","3명 이상")</x:f>
        <x:v>0명</x:v>
      </x:c>
      <x:c r="J512" s="2" t="str">
        <x:v>비흡연</x:v>
      </x:c>
      <x:c r="K512" s="2" t="str">
        <x:v>당뇨</x:v>
      </x:c>
      <x:c r="L512" s="2" t="str">
        <x:v>없음</x:v>
      </x:c>
      <x:c r="M512" s="2" t="str">
        <x:v>수호천사 간편심사(유병자)보험</x:v>
      </x:c>
      <x:c r="N512" s="2" t="str">
        <x:f>VLOOKUP(M512,'분류기준'!$A$5:$B$8,2,FALSE)</x:f>
        <x:v>간편심사보험</x:v>
      </x:c>
      <x:c r="O512" s="2" t="str">
        <x:v>선택 안함</x:v>
      </x:c>
      <x:c r="P512" s="2" t="str">
        <x:f>IF(O512="선택 안함","선택 안함",IF(O512="특약 없음","특약 없음","가입"))</x:f>
        <x:v>선택 안함</x:v>
      </x:c>
      <x:c r="Q512" s="2" t="str">
        <x:f>IF(P512="가입","가입","미가입")</x:f>
        <x:v>미가입</x:v>
      </x:c>
    </x:row>
    <x:row r="513" ht="23" customHeight="1">
      <x:c r="A513" s="2" t="str">
        <x:v>C0796</x:v>
      </x:c>
      <x:c r="B513" s="7" t="n">
        <x:v>43</x:v>
      </x:c>
      <x:c r="C513" s="2" t="str">
        <x:f>INT(B513/10)*10&amp;"대"</x:f>
        <x:v>40대</x:v>
      </x:c>
      <x:c r="D513" s="2" t="str">
        <x:v>여성</x:v>
      </x:c>
      <x:c r="E513" s="7" t="n">
        <x:v>3000</x:v>
      </x:c>
      <x:c r="F513" s="7" t="n">
        <x:v>1</x:v>
      </x:c>
      <x:c r="G513" s="2" t="str">
        <x:v>기혼</x:v>
      </x:c>
      <x:c r="H513" s="7" t="n">
        <x:v>1</x:v>
      </x:c>
      <x:c r="I513" s="2" t="str">
        <x:f>IF(H513&lt;3,H513&amp;"명","3명 이상")</x:f>
        <x:v>1명</x:v>
      </x:c>
      <x:c r="J513" s="2" t="str">
        <x:v>비흡연</x:v>
      </x:c>
      <x:c r="K513" s="2" t="str">
        <x:v>없음</x:v>
      </x:c>
      <x:c r="L513" s="2" t="str">
        <x:v>없음</x:v>
      </x:c>
      <x:c r="M513" s="2" t="str">
        <x:v>수호천사 우리가족 종신보험</x:v>
      </x:c>
      <x:c r="N513" s="2" t="str">
        <x:f>VLOOKUP(M513,'분류기준'!$A$5:$B$8,2,FALSE)</x:f>
        <x:v>종신보험</x:v>
      </x:c>
      <x:c r="O513" s="2" t="str">
        <x:v>가족 수입 보장 특약</x:v>
      </x:c>
      <x:c r="P513" s="2" t="str">
        <x:f>IF(O513="선택 안함","선택 안함",IF(O513="특약 없음","특약 없음","가입"))</x:f>
        <x:v>가입</x:v>
      </x:c>
      <x:c r="Q513" s="2" t="str">
        <x:f>IF(P513="가입","가입","미가입")</x:f>
        <x:v>가입</x:v>
      </x:c>
    </x:row>
    <x:row r="514" ht="23" customHeight="1">
      <x:c r="A514" s="2" t="str">
        <x:v>C0859</x:v>
      </x:c>
      <x:c r="B514" s="7" t="n">
        <x:v>43</x:v>
      </x:c>
      <x:c r="C514" s="2" t="str">
        <x:f>INT(B514/10)*10&amp;"대"</x:f>
        <x:v>40대</x:v>
      </x:c>
      <x:c r="D514" s="2" t="str">
        <x:v>여성</x:v>
      </x:c>
      <x:c r="E514" s="7" t="n">
        <x:v>6000</x:v>
      </x:c>
      <x:c r="F514" s="7" t="n">
        <x:v>1</x:v>
      </x:c>
      <x:c r="G514" s="2" t="str">
        <x:v>기혼</x:v>
      </x:c>
      <x:c r="H514" s="7" t="n">
        <x:v>1</x:v>
      </x:c>
      <x:c r="I514" s="2" t="str">
        <x:f>IF(H514&lt;3,H514&amp;"명","3명 이상")</x:f>
        <x:v>1명</x:v>
      </x:c>
      <x:c r="J514" s="2" t="str">
        <x:v>비흡연</x:v>
      </x:c>
      <x:c r="K514" s="2" t="str">
        <x:v>고혈압</x:v>
      </x:c>
      <x:c r="L514" s="2" t="str">
        <x:v>암</x:v>
      </x:c>
      <x:c r="M514" s="2" t="str">
        <x:v>수호천사 우리가족 종신보험</x:v>
      </x:c>
      <x:c r="N514" s="2" t="str">
        <x:f>VLOOKUP(M514,'분류기준'!$A$5:$B$8,2,FALSE)</x:f>
        <x:v>종신보험</x:v>
      </x:c>
      <x:c r="O514" s="2" t="str">
        <x:v>가족 수입 보장 특약</x:v>
      </x:c>
      <x:c r="P514" s="2" t="str">
        <x:f>IF(O514="선택 안함","선택 안함",IF(O514="특약 없음","특약 없음","가입"))</x:f>
        <x:v>가입</x:v>
      </x:c>
      <x:c r="Q514" s="2" t="str">
        <x:f>IF(P514="가입","가입","미가입")</x:f>
        <x:v>가입</x:v>
      </x:c>
    </x:row>
    <x:row r="515" ht="23" customHeight="1">
      <x:c r="A515" s="2" t="str">
        <x:v>C0921</x:v>
      </x:c>
      <x:c r="B515" s="7" t="n">
        <x:v>43</x:v>
      </x:c>
      <x:c r="C515" s="2" t="str">
        <x:f>INT(B515/10)*10&amp;"대"</x:f>
        <x:v>40대</x:v>
      </x:c>
      <x:c r="D515" s="2" t="str">
        <x:v>남성</x:v>
      </x:c>
      <x:c r="E515" s="7" t="n">
        <x:v>12000</x:v>
      </x:c>
      <x:c r="F515" s="7" t="n">
        <x:v>2</x:v>
      </x:c>
      <x:c r="G515" s="2" t="str">
        <x:v>기혼</x:v>
      </x:c>
      <x:c r="H515" s="7" t="n">
        <x:v>2</x:v>
      </x:c>
      <x:c r="I515" s="2" t="str">
        <x:f>IF(H515&lt;3,H515&amp;"명","3명 이상")</x:f>
        <x:v>2명</x:v>
      </x:c>
      <x:c r="J515" s="2" t="str">
        <x:v>비흡연</x:v>
      </x:c>
      <x:c r="K515" s="2" t="str">
        <x:v>당뇨</x:v>
      </x:c>
      <x:c r="L515" s="2" t="str">
        <x:v>암</x:v>
      </x:c>
      <x:c r="M515" s="2" t="str">
        <x:v>수호천사 우리가족 종신보험</x:v>
      </x:c>
      <x:c r="N515" s="2" t="str">
        <x:f>VLOOKUP(M515,'분류기준'!$A$5:$B$8,2,FALSE)</x:f>
        <x:v>종신보험</x:v>
      </x:c>
      <x:c r="O515" s="2" t="str">
        <x:v>가족 수입 보장 특약</x:v>
      </x:c>
      <x:c r="P515" s="2" t="str">
        <x:f>IF(O515="선택 안함","선택 안함",IF(O515="특약 없음","특약 없음","가입"))</x:f>
        <x:v>가입</x:v>
      </x:c>
      <x:c r="Q515" s="2" t="str">
        <x:f>IF(P515="가입","가입","미가입")</x:f>
        <x:v>가입</x:v>
      </x:c>
    </x:row>
    <x:row r="516" ht="23" customHeight="1">
      <x:c r="A516" s="2" t="str">
        <x:v>C0928</x:v>
      </x:c>
      <x:c r="B516" s="7" t="n">
        <x:v>43</x:v>
      </x:c>
      <x:c r="C516" s="2" t="str">
        <x:f>INT(B516/10)*10&amp;"대"</x:f>
        <x:v>40대</x:v>
      </x:c>
      <x:c r="D516" s="2" t="str">
        <x:v>남성</x:v>
      </x:c>
      <x:c r="E516" s="7" t="n">
        <x:v>5000</x:v>
      </x:c>
      <x:c r="F516" s="7" t="n">
        <x:v>1</x:v>
      </x:c>
      <x:c r="G516" s="2" t="str">
        <x:v>기혼</x:v>
      </x:c>
      <x:c r="H516" s="7" t="n">
        <x:v>1</x:v>
      </x:c>
      <x:c r="I516" s="2" t="str">
        <x:f>IF(H516&lt;3,H516&amp;"명","3명 이상")</x:f>
        <x:v>1명</x:v>
      </x:c>
      <x:c r="J516" s="2" t="str">
        <x:v>비흡연</x:v>
      </x:c>
      <x:c r="K516" s="2" t="str">
        <x:v>당뇨</x:v>
      </x:c>
      <x:c r="L516" s="2" t="str">
        <x:v>없음</x:v>
      </x:c>
      <x:c r="M516" s="2" t="str">
        <x:v>수호천사 우리가족 종신보험</x:v>
      </x:c>
      <x:c r="N516" s="2" t="str">
        <x:f>VLOOKUP(M516,'분류기준'!$A$5:$B$8,2,FALSE)</x:f>
        <x:v>종신보험</x:v>
      </x:c>
      <x:c r="O516" s="2" t="str">
        <x:v>가족 수입 보장 특약</x:v>
      </x:c>
      <x:c r="P516" s="2" t="str">
        <x:f>IF(O516="선택 안함","선택 안함",IF(O516="특약 없음","특약 없음","가입"))</x:f>
        <x:v>가입</x:v>
      </x:c>
      <x:c r="Q516" s="2" t="str">
        <x:f>IF(P516="가입","가입","미가입")</x:f>
        <x:v>가입</x:v>
      </x:c>
    </x:row>
    <x:row r="517" ht="23" customHeight="1">
      <x:c r="A517" s="2" t="str">
        <x:v>C0985</x:v>
      </x:c>
      <x:c r="B517" s="7" t="n">
        <x:v>43</x:v>
      </x:c>
      <x:c r="C517" s="2" t="str">
        <x:f>INT(B517/10)*10&amp;"대"</x:f>
        <x:v>40대</x:v>
      </x:c>
      <x:c r="D517" s="2" t="str">
        <x:v>남성</x:v>
      </x:c>
      <x:c r="E517" s="7" t="n">
        <x:v>4000</x:v>
      </x:c>
      <x:c r="F517" s="7" t="n">
        <x:v>3</x:v>
      </x:c>
      <x:c r="G517" s="2" t="str">
        <x:v>기혼</x:v>
      </x:c>
      <x:c r="H517" s="7" t="n">
        <x:v>0</x:v>
      </x:c>
      <x:c r="I517" s="2" t="str">
        <x:f>IF(H517&lt;3,H517&amp;"명","3명 이상")</x:f>
        <x:v>0명</x:v>
      </x:c>
      <x:c r="J517" s="2" t="str">
        <x:v>비흡연</x:v>
      </x:c>
      <x:c r="K517" s="2" t="str">
        <x:v>없음</x:v>
      </x:c>
      <x:c r="L517" s="2" t="str">
        <x:v>없음</x:v>
      </x:c>
      <x:c r="M517" s="2" t="str">
        <x:v>수호천사 간편심사(유병자)보험</x:v>
      </x:c>
      <x:c r="N517" s="2" t="str">
        <x:f>VLOOKUP(M517,'분류기준'!$A$5:$B$8,2,FALSE)</x:f>
        <x:v>간편심사보험</x:v>
      </x:c>
      <x:c r="O517" s="2" t="str">
        <x:v>중증질환 산정특례 보장 특약</x:v>
      </x:c>
      <x:c r="P517" s="2" t="str">
        <x:f>IF(O517="선택 안함","선택 안함",IF(O517="특약 없음","특약 없음","가입"))</x:f>
        <x:v>가입</x:v>
      </x:c>
      <x:c r="Q517" s="2" t="str">
        <x:f>IF(P517="가입","가입","미가입")</x:f>
        <x:v>가입</x:v>
      </x:c>
    </x:row>
    <x:row r="518" ht="23" customHeight="1">
      <x:c r="A518" s="2" t="str">
        <x:v>C0029</x:v>
      </x:c>
      <x:c r="B518" s="7" t="n">
        <x:v>44</x:v>
      </x:c>
      <x:c r="C518" s="2" t="str">
        <x:f>INT(B518/10)*10&amp;"대"</x:f>
        <x:v>40대</x:v>
      </x:c>
      <x:c r="D518" s="2" t="str">
        <x:v>남성</x:v>
      </x:c>
      <x:c r="E518" s="7" t="n">
        <x:v>4000</x:v>
      </x:c>
      <x:c r="F518" s="7" t="n">
        <x:v>1</x:v>
      </x:c>
      <x:c r="G518" s="2" t="str">
        <x:v>기혼</x:v>
      </x:c>
      <x:c r="H518" s="7" t="n">
        <x:v>1</x:v>
      </x:c>
      <x:c r="I518" s="2" t="str">
        <x:f>IF(H518&lt;3,H518&amp;"명","3명 이상")</x:f>
        <x:v>1명</x:v>
      </x:c>
      <x:c r="J518" s="2" t="str">
        <x:v>흡연</x:v>
      </x:c>
      <x:c r="K518" s="2" t="str">
        <x:v>고혈압</x:v>
      </x:c>
      <x:c r="L518" s="2" t="str">
        <x:v>없음</x:v>
      </x:c>
      <x:c r="M518" s="2" t="str">
        <x:v>수호천사 우리가족 종신보험</x:v>
      </x:c>
      <x:c r="N518" s="2" t="str">
        <x:f>VLOOKUP(M518,'분류기준'!$A$5:$B$8,2,FALSE)</x:f>
        <x:v>종신보험</x:v>
      </x:c>
      <x:c r="O518" s="2" t="str">
        <x:v>가족 수입 보장 특약</x:v>
      </x:c>
      <x:c r="P518" s="2" t="str">
        <x:f>IF(O518="선택 안함","선택 안함",IF(O518="특약 없음","특약 없음","가입"))</x:f>
        <x:v>가입</x:v>
      </x:c>
      <x:c r="Q518" s="2" t="str">
        <x:f>IF(P518="가입","가입","미가입")</x:f>
        <x:v>가입</x:v>
      </x:c>
    </x:row>
    <x:row r="519" ht="23" customHeight="1">
      <x:c r="A519" s="2" t="str">
        <x:v>C0044</x:v>
      </x:c>
      <x:c r="B519" s="7" t="n">
        <x:v>44</x:v>
      </x:c>
      <x:c r="C519" s="2" t="str">
        <x:f>INT(B519/10)*10&amp;"대"</x:f>
        <x:v>40대</x:v>
      </x:c>
      <x:c r="D519" s="2" t="str">
        <x:v>남성</x:v>
      </x:c>
      <x:c r="E519" s="7" t="n">
        <x:v>6000</x:v>
      </x:c>
      <x:c r="F519" s="7" t="n">
        <x:v>2</x:v>
      </x:c>
      <x:c r="G519" s="2" t="str">
        <x:v>기혼</x:v>
      </x:c>
      <x:c r="H519" s="7" t="n">
        <x:v>2</x:v>
      </x:c>
      <x:c r="I519" s="2" t="str">
        <x:f>IF(H519&lt;3,H519&amp;"명","3명 이상")</x:f>
        <x:v>2명</x:v>
      </x:c>
      <x:c r="J519" s="2" t="str">
        <x:v>흡연</x:v>
      </x:c>
      <x:c r="K519" s="2" t="str">
        <x:v>고혈압</x:v>
      </x:c>
      <x:c r="L519" s="2" t="str">
        <x:v>없음</x:v>
      </x:c>
      <x:c r="M519" s="2" t="str">
        <x:v>수호천사 행복 연금보험</x:v>
      </x:c>
      <x:c r="N519" s="2" t="str">
        <x:f>VLOOKUP(M519,'분류기준'!$A$5:$B$8,2,FALSE)</x:f>
        <x:v>연금보험</x:v>
      </x:c>
      <x:c r="O519" s="2" t="str">
        <x:v>특약 없음</x:v>
      </x:c>
      <x:c r="P519" s="2" t="str">
        <x:f>IF(O519="선택 안함","선택 안함",IF(O519="특약 없음","특약 없음","가입"))</x:f>
        <x:v>특약 없음</x:v>
      </x:c>
      <x:c r="Q519" s="2" t="str">
        <x:f>IF(P519="가입","가입","미가입")</x:f>
        <x:v>미가입</x:v>
      </x:c>
    </x:row>
    <x:row r="520" ht="23" customHeight="1">
      <x:c r="A520" s="2" t="str">
        <x:v>C0084</x:v>
      </x:c>
      <x:c r="B520" s="7" t="n">
        <x:v>44</x:v>
      </x:c>
      <x:c r="C520" s="2" t="str">
        <x:f>INT(B520/10)*10&amp;"대"</x:f>
        <x:v>40대</x:v>
      </x:c>
      <x:c r="D520" s="2" t="str">
        <x:v>여성</x:v>
      </x:c>
      <x:c r="E520" s="7" t="n">
        <x:v>6000</x:v>
      </x:c>
      <x:c r="F520" s="7" t="n">
        <x:v>1</x:v>
      </x:c>
      <x:c r="G520" s="2" t="str">
        <x:v>미혼</x:v>
      </x:c>
      <x:c r="H520" s="7" t="n">
        <x:v>0</x:v>
      </x:c>
      <x:c r="I520" s="2" t="str">
        <x:f>IF(H520&lt;3,H520&amp;"명","3명 이상")</x:f>
        <x:v>0명</x:v>
      </x:c>
      <x:c r="J520" s="2" t="str">
        <x:v>비흡연</x:v>
      </x:c>
      <x:c r="K520" s="2" t="str">
        <x:v>없음</x:v>
      </x:c>
      <x:c r="L520" s="2" t="str">
        <x:v>암</x:v>
      </x:c>
      <x:c r="M520" s="2" t="str">
        <x:v>수호천사 행복 연금보험</x:v>
      </x:c>
      <x:c r="N520" s="2" t="str">
        <x:f>VLOOKUP(M520,'분류기준'!$A$5:$B$8,2,FALSE)</x:f>
        <x:v>연금보험</x:v>
      </x:c>
      <x:c r="O520" s="2" t="str">
        <x:v>특약 없음</x:v>
      </x:c>
      <x:c r="P520" s="2" t="str">
        <x:f>IF(O520="선택 안함","선택 안함",IF(O520="특약 없음","특약 없음","가입"))</x:f>
        <x:v>특약 없음</x:v>
      </x:c>
      <x:c r="Q520" s="2" t="str">
        <x:f>IF(P520="가입","가입","미가입")</x:f>
        <x:v>미가입</x:v>
      </x:c>
    </x:row>
    <x:row r="521" ht="23" customHeight="1">
      <x:c r="A521" s="2" t="str">
        <x:v>C0091</x:v>
      </x:c>
      <x:c r="B521" s="7" t="n">
        <x:v>44</x:v>
      </x:c>
      <x:c r="C521" s="2" t="str">
        <x:f>INT(B521/10)*10&amp;"대"</x:f>
        <x:v>40대</x:v>
      </x:c>
      <x:c r="D521" s="2" t="str">
        <x:v>남성</x:v>
      </x:c>
      <x:c r="E521" s="7" t="n">
        <x:v>3000</x:v>
      </x:c>
      <x:c r="F521" s="7" t="n">
        <x:v>3</x:v>
      </x:c>
      <x:c r="G521" s="2" t="str">
        <x:v>기혼</x:v>
      </x:c>
      <x:c r="H521" s="7" t="n">
        <x:v>0</x:v>
      </x:c>
      <x:c r="I521" s="2" t="str">
        <x:f>IF(H521&lt;3,H521&amp;"명","3명 이상")</x:f>
        <x:v>0명</x:v>
      </x:c>
      <x:c r="J521" s="2" t="str">
        <x:v>비흡연</x:v>
      </x:c>
      <x:c r="K521" s="2" t="str">
        <x:v>없음</x:v>
      </x:c>
      <x:c r="L521" s="2" t="str">
        <x:v>암</x:v>
      </x:c>
      <x:c r="M521" s="2" t="str">
        <x:v>수호천사 행복 연금보험</x:v>
      </x:c>
      <x:c r="N521" s="2" t="str">
        <x:f>VLOOKUP(M521,'분류기준'!$A$5:$B$8,2,FALSE)</x:f>
        <x:v>연금보험</x:v>
      </x:c>
      <x:c r="O521" s="2" t="str">
        <x:v>특약 없음</x:v>
      </x:c>
      <x:c r="P521" s="2" t="str">
        <x:f>IF(O521="선택 안함","선택 안함",IF(O521="특약 없음","특약 없음","가입"))</x:f>
        <x:v>특약 없음</x:v>
      </x:c>
      <x:c r="Q521" s="2" t="str">
        <x:f>IF(P521="가입","가입","미가입")</x:f>
        <x:v>미가입</x:v>
      </x:c>
    </x:row>
    <x:row r="522" ht="23" customHeight="1">
      <x:c r="A522" s="2" t="str">
        <x:v>C0172</x:v>
      </x:c>
      <x:c r="B522" s="7" t="n">
        <x:v>44</x:v>
      </x:c>
      <x:c r="C522" s="2" t="str">
        <x:f>INT(B522/10)*10&amp;"대"</x:f>
        <x:v>40대</x:v>
      </x:c>
      <x:c r="D522" s="2" t="str">
        <x:v>남성</x:v>
      </x:c>
      <x:c r="E522" s="7" t="n">
        <x:v>6000</x:v>
      </x:c>
      <x:c r="F522" s="7" t="n">
        <x:v>1</x:v>
      </x:c>
      <x:c r="G522" s="2" t="str">
        <x:v>기혼</x:v>
      </x:c>
      <x:c r="H522" s="7" t="n">
        <x:v>0</x:v>
      </x:c>
      <x:c r="I522" s="2" t="str">
        <x:f>IF(H522&lt;3,H522&amp;"명","3명 이상")</x:f>
        <x:v>0명</x:v>
      </x:c>
      <x:c r="J522" s="2" t="str">
        <x:v>흡연</x:v>
      </x:c>
      <x:c r="K522" s="2" t="str">
        <x:v>없음</x:v>
      </x:c>
      <x:c r="L522" s="2" t="str">
        <x:v>없음</x:v>
      </x:c>
      <x:c r="M522" s="2" t="str">
        <x:v>수호천사 암/건강보험</x:v>
      </x:c>
      <x:c r="N522" s="2" t="str">
        <x:f>VLOOKUP(M522,'분류기준'!$A$5:$B$8,2,FALSE)</x:f>
        <x:v>암/건강보험</x:v>
      </x:c>
      <x:c r="O522" s="2" t="str">
        <x:v>표적항암약물허가치료 특약</x:v>
      </x:c>
      <x:c r="P522" s="2" t="str">
        <x:f>IF(O522="선택 안함","선택 안함",IF(O522="특약 없음","특약 없음","가입"))</x:f>
        <x:v>가입</x:v>
      </x:c>
      <x:c r="Q522" s="2" t="str">
        <x:f>IF(P522="가입","가입","미가입")</x:f>
        <x:v>가입</x:v>
      </x:c>
    </x:row>
    <x:row r="523" ht="23" customHeight="1">
      <x:c r="A523" s="2" t="str">
        <x:v>C0251</x:v>
      </x:c>
      <x:c r="B523" s="7" t="n">
        <x:v>44</x:v>
      </x:c>
      <x:c r="C523" s="2" t="str">
        <x:f>INT(B523/10)*10&amp;"대"</x:f>
        <x:v>40대</x:v>
      </x:c>
      <x:c r="D523" s="2" t="str">
        <x:v>남성</x:v>
      </x:c>
      <x:c r="E523" s="7" t="n">
        <x:v>9000</x:v>
      </x:c>
      <x:c r="F523" s="7" t="n">
        <x:v>3</x:v>
      </x:c>
      <x:c r="G523" s="2" t="str">
        <x:v>미혼</x:v>
      </x:c>
      <x:c r="H523" s="7" t="n">
        <x:v>0</x:v>
      </x:c>
      <x:c r="I523" s="2" t="str">
        <x:f>IF(H523&lt;3,H523&amp;"명","3명 이상")</x:f>
        <x:v>0명</x:v>
      </x:c>
      <x:c r="J523" s="2" t="str">
        <x:v>비흡연</x:v>
      </x:c>
      <x:c r="K523" s="2" t="str">
        <x:v>없음</x:v>
      </x:c>
      <x:c r="L523" s="2" t="str">
        <x:v>암</x:v>
      </x:c>
      <x:c r="M523" s="2" t="str">
        <x:v>수호천사 암/건강보험</x:v>
      </x:c>
      <x:c r="N523" s="2" t="str">
        <x:f>VLOOKUP(M523,'분류기준'!$A$5:$B$8,2,FALSE)</x:f>
        <x:v>암/건강보험</x:v>
      </x:c>
      <x:c r="O523" s="2" t="str">
        <x:v>표적항암약물허가치료 특약</x:v>
      </x:c>
      <x:c r="P523" s="2" t="str">
        <x:f>IF(O523="선택 안함","선택 안함",IF(O523="특약 없음","특약 없음","가입"))</x:f>
        <x:v>가입</x:v>
      </x:c>
      <x:c r="Q523" s="2" t="str">
        <x:f>IF(P523="가입","가입","미가입")</x:f>
        <x:v>가입</x:v>
      </x:c>
    </x:row>
    <x:row r="524" ht="23" customHeight="1">
      <x:c r="A524" s="2" t="str">
        <x:v>C0283</x:v>
      </x:c>
      <x:c r="B524" s="7" t="n">
        <x:v>44</x:v>
      </x:c>
      <x:c r="C524" s="2" t="str">
        <x:f>INT(B524/10)*10&amp;"대"</x:f>
        <x:v>40대</x:v>
      </x:c>
      <x:c r="D524" s="2" t="str">
        <x:v>여성</x:v>
      </x:c>
      <x:c r="E524" s="7" t="n">
        <x:v>4000</x:v>
      </x:c>
      <x:c r="F524" s="7" t="n">
        <x:v>3</x:v>
      </x:c>
      <x:c r="G524" s="2" t="str">
        <x:v>미혼</x:v>
      </x:c>
      <x:c r="H524" s="7" t="n">
        <x:v>0</x:v>
      </x:c>
      <x:c r="I524" s="2" t="str">
        <x:f>IF(H524&lt;3,H524&amp;"명","3명 이상")</x:f>
        <x:v>0명</x:v>
      </x:c>
      <x:c r="J524" s="2" t="str">
        <x:v>비흡연</x:v>
      </x:c>
      <x:c r="K524" s="2" t="str">
        <x:v>없음</x:v>
      </x:c>
      <x:c r="L524" s="2" t="str">
        <x:v>암</x:v>
      </x:c>
      <x:c r="M524" s="2" t="str">
        <x:v>수호천사 행복 연금보험</x:v>
      </x:c>
      <x:c r="N524" s="2" t="str">
        <x:f>VLOOKUP(M524,'분류기준'!$A$5:$B$8,2,FALSE)</x:f>
        <x:v>연금보험</x:v>
      </x:c>
      <x:c r="O524" s="2" t="str">
        <x:v>특약 없음</x:v>
      </x:c>
      <x:c r="P524" s="2" t="str">
        <x:f>IF(O524="선택 안함","선택 안함",IF(O524="특약 없음","특약 없음","가입"))</x:f>
        <x:v>특약 없음</x:v>
      </x:c>
      <x:c r="Q524" s="2" t="str">
        <x:f>IF(P524="가입","가입","미가입")</x:f>
        <x:v>미가입</x:v>
      </x:c>
    </x:row>
    <x:row r="525" ht="23" customHeight="1">
      <x:c r="A525" s="2" t="str">
        <x:v>C0285</x:v>
      </x:c>
      <x:c r="B525" s="7" t="n">
        <x:v>44</x:v>
      </x:c>
      <x:c r="C525" s="2" t="str">
        <x:f>INT(B525/10)*10&amp;"대"</x:f>
        <x:v>40대</x:v>
      </x:c>
      <x:c r="D525" s="2" t="str">
        <x:v>여성</x:v>
      </x:c>
      <x:c r="E525" s="7" t="n">
        <x:v>4000</x:v>
      </x:c>
      <x:c r="F525" s="7" t="n">
        <x:v>1</x:v>
      </x:c>
      <x:c r="G525" s="2" t="str">
        <x:v>기혼</x:v>
      </x:c>
      <x:c r="H525" s="7" t="n">
        <x:v>1</x:v>
      </x:c>
      <x:c r="I525" s="2" t="str">
        <x:f>IF(H525&lt;3,H525&amp;"명","3명 이상")</x:f>
        <x:v>1명</x:v>
      </x:c>
      <x:c r="J525" s="2" t="str">
        <x:v>흡연</x:v>
      </x:c>
      <x:c r="K525" s="2" t="str">
        <x:v>없음</x:v>
      </x:c>
      <x:c r="L525" s="2" t="str">
        <x:v>암</x:v>
      </x:c>
      <x:c r="M525" s="2" t="str">
        <x:v>수호천사 암/건강보험</x:v>
      </x:c>
      <x:c r="N525" s="2" t="str">
        <x:f>VLOOKUP(M525,'분류기준'!$A$5:$B$8,2,FALSE)</x:f>
        <x:v>암/건강보험</x:v>
      </x:c>
      <x:c r="O525" s="2" t="str">
        <x:v>표적항암약물허가치료 특약</x:v>
      </x:c>
      <x:c r="P525" s="2" t="str">
        <x:f>IF(O525="선택 안함","선택 안함",IF(O525="특약 없음","특약 없음","가입"))</x:f>
        <x:v>가입</x:v>
      </x:c>
      <x:c r="Q525" s="2" t="str">
        <x:f>IF(P525="가입","가입","미가입")</x:f>
        <x:v>가입</x:v>
      </x:c>
    </x:row>
    <x:row r="526" ht="23" customHeight="1">
      <x:c r="A526" s="2" t="str">
        <x:v>C0349</x:v>
      </x:c>
      <x:c r="B526" s="7" t="n">
        <x:v>44</x:v>
      </x:c>
      <x:c r="C526" s="2" t="str">
        <x:f>INT(B526/10)*10&amp;"대"</x:f>
        <x:v>40대</x:v>
      </x:c>
      <x:c r="D526" s="2" t="str">
        <x:v>여성</x:v>
      </x:c>
      <x:c r="E526" s="7" t="n">
        <x:v>3000</x:v>
      </x:c>
      <x:c r="F526" s="7" t="n">
        <x:v>1</x:v>
      </x:c>
      <x:c r="G526" s="2" t="str">
        <x:v>기혼</x:v>
      </x:c>
      <x:c r="H526" s="7" t="n">
        <x:v>1</x:v>
      </x:c>
      <x:c r="I526" s="2" t="str">
        <x:f>IF(H526&lt;3,H526&amp;"명","3명 이상")</x:f>
        <x:v>1명</x:v>
      </x:c>
      <x:c r="J526" s="2" t="str">
        <x:v>비흡연</x:v>
      </x:c>
      <x:c r="K526" s="2" t="str">
        <x:v>고혈압</x:v>
      </x:c>
      <x:c r="L526" s="2" t="str">
        <x:v>암</x:v>
      </x:c>
      <x:c r="M526" s="2" t="str">
        <x:v>수호천사 우리가족 종신보험</x:v>
      </x:c>
      <x:c r="N526" s="2" t="str">
        <x:f>VLOOKUP(M526,'분류기준'!$A$5:$B$8,2,FALSE)</x:f>
        <x:v>종신보험</x:v>
      </x:c>
      <x:c r="O526" s="2" t="str">
        <x:v>가족 수입 보장 특약</x:v>
      </x:c>
      <x:c r="P526" s="2" t="str">
        <x:f>IF(O526="선택 안함","선택 안함",IF(O526="특약 없음","특약 없음","가입"))</x:f>
        <x:v>가입</x:v>
      </x:c>
      <x:c r="Q526" s="2" t="str">
        <x:f>IF(P526="가입","가입","미가입")</x:f>
        <x:v>가입</x:v>
      </x:c>
    </x:row>
    <x:row r="527" ht="23" customHeight="1">
      <x:c r="A527" s="2" t="str">
        <x:v>C0374</x:v>
      </x:c>
      <x:c r="B527" s="7" t="n">
        <x:v>44</x:v>
      </x:c>
      <x:c r="C527" s="2" t="str">
        <x:f>INT(B527/10)*10&amp;"대"</x:f>
        <x:v>40대</x:v>
      </x:c>
      <x:c r="D527" s="2" t="str">
        <x:v>남성</x:v>
      </x:c>
      <x:c r="E527" s="7" t="n">
        <x:v>4000</x:v>
      </x:c>
      <x:c r="F527" s="7" t="n">
        <x:v>1</x:v>
      </x:c>
      <x:c r="G527" s="2" t="str">
        <x:v>기혼</x:v>
      </x:c>
      <x:c r="H527" s="7" t="n">
        <x:v>1</x:v>
      </x:c>
      <x:c r="I527" s="2" t="str">
        <x:f>IF(H527&lt;3,H527&amp;"명","3명 이상")</x:f>
        <x:v>1명</x:v>
      </x:c>
      <x:c r="J527" s="2" t="str">
        <x:v>비흡연</x:v>
      </x:c>
      <x:c r="K527" s="2" t="str">
        <x:v>없음</x:v>
      </x:c>
      <x:c r="L527" s="2" t="str">
        <x:v>없음</x:v>
      </x:c>
      <x:c r="M527" s="2" t="str">
        <x:v>수호천사 우리가족 종신보험</x:v>
      </x:c>
      <x:c r="N527" s="2" t="str">
        <x:f>VLOOKUP(M527,'분류기준'!$A$5:$B$8,2,FALSE)</x:f>
        <x:v>종신보험</x:v>
      </x:c>
      <x:c r="O527" s="2" t="str">
        <x:v>선택 안함</x:v>
      </x:c>
      <x:c r="P527" s="2" t="str">
        <x:f>IF(O527="선택 안함","선택 안함",IF(O527="특약 없음","특약 없음","가입"))</x:f>
        <x:v>선택 안함</x:v>
      </x:c>
      <x:c r="Q527" s="2" t="str">
        <x:f>IF(P527="가입","가입","미가입")</x:f>
        <x:v>미가입</x:v>
      </x:c>
    </x:row>
    <x:row r="528" ht="23" customHeight="1">
      <x:c r="A528" s="2" t="str">
        <x:v>C0395</x:v>
      </x:c>
      <x:c r="B528" s="7" t="n">
        <x:v>44</x:v>
      </x:c>
      <x:c r="C528" s="2" t="str">
        <x:f>INT(B528/10)*10&amp;"대"</x:f>
        <x:v>40대</x:v>
      </x:c>
      <x:c r="D528" s="2" t="str">
        <x:v>남성</x:v>
      </x:c>
      <x:c r="E528" s="7" t="n">
        <x:v>12000</x:v>
      </x:c>
      <x:c r="F528" s="7" t="n">
        <x:v>1</x:v>
      </x:c>
      <x:c r="G528" s="2" t="str">
        <x:v>기혼</x:v>
      </x:c>
      <x:c r="H528" s="7" t="n">
        <x:v>1</x:v>
      </x:c>
      <x:c r="I528" s="2" t="str">
        <x:f>IF(H528&lt;3,H528&amp;"명","3명 이상")</x:f>
        <x:v>1명</x:v>
      </x:c>
      <x:c r="J528" s="2" t="str">
        <x:v>흡연</x:v>
      </x:c>
      <x:c r="K528" s="2" t="str">
        <x:v>없음</x:v>
      </x:c>
      <x:c r="L528" s="2" t="str">
        <x:v>없음</x:v>
      </x:c>
      <x:c r="M528" s="2" t="str">
        <x:v>수호천사 우리가족 종신보험</x:v>
      </x:c>
      <x:c r="N528" s="2" t="str">
        <x:f>VLOOKUP(M528,'분류기준'!$A$5:$B$8,2,FALSE)</x:f>
        <x:v>종신보험</x:v>
      </x:c>
      <x:c r="O528" s="2" t="str">
        <x:v>가족 수입 보장 특약</x:v>
      </x:c>
      <x:c r="P528" s="2" t="str">
        <x:f>IF(O528="선택 안함","선택 안함",IF(O528="특약 없음","특약 없음","가입"))</x:f>
        <x:v>가입</x:v>
      </x:c>
      <x:c r="Q528" s="2" t="str">
        <x:f>IF(P528="가입","가입","미가입")</x:f>
        <x:v>가입</x:v>
      </x:c>
    </x:row>
    <x:row r="529" ht="23" customHeight="1">
      <x:c r="A529" s="2" t="str">
        <x:v>C0434</x:v>
      </x:c>
      <x:c r="B529" s="7" t="n">
        <x:v>44</x:v>
      </x:c>
      <x:c r="C529" s="2" t="str">
        <x:f>INT(B529/10)*10&amp;"대"</x:f>
        <x:v>40대</x:v>
      </x:c>
      <x:c r="D529" s="2" t="str">
        <x:v>여성</x:v>
      </x:c>
      <x:c r="E529" s="7" t="n">
        <x:v>9000</x:v>
      </x:c>
      <x:c r="F529" s="7" t="n">
        <x:v>2</x:v>
      </x:c>
      <x:c r="G529" s="2" t="str">
        <x:v>기혼</x:v>
      </x:c>
      <x:c r="H529" s="7" t="n">
        <x:v>1</x:v>
      </x:c>
      <x:c r="I529" s="2" t="str">
        <x:f>IF(H529&lt;3,H529&amp;"명","3명 이상")</x:f>
        <x:v>1명</x:v>
      </x:c>
      <x:c r="J529" s="2" t="str">
        <x:v>비흡연</x:v>
      </x:c>
      <x:c r="K529" s="2" t="str">
        <x:v>없음</x:v>
      </x:c>
      <x:c r="L529" s="2" t="str">
        <x:v>암</x:v>
      </x:c>
      <x:c r="M529" s="2" t="str">
        <x:v>수호천사 우리가족 종신보험</x:v>
      </x:c>
      <x:c r="N529" s="2" t="str">
        <x:f>VLOOKUP(M529,'분류기준'!$A$5:$B$8,2,FALSE)</x:f>
        <x:v>종신보험</x:v>
      </x:c>
      <x:c r="O529" s="2" t="str">
        <x:v>가족 수입 보장 특약</x:v>
      </x:c>
      <x:c r="P529" s="2" t="str">
        <x:f>IF(O529="선택 안함","선택 안함",IF(O529="특약 없음","특약 없음","가입"))</x:f>
        <x:v>가입</x:v>
      </x:c>
      <x:c r="Q529" s="2" t="str">
        <x:f>IF(P529="가입","가입","미가입")</x:f>
        <x:v>가입</x:v>
      </x:c>
    </x:row>
    <x:row r="530" ht="23" customHeight="1">
      <x:c r="A530" s="2" t="str">
        <x:v>C0525</x:v>
      </x:c>
      <x:c r="B530" s="7" t="n">
        <x:v>44</x:v>
      </x:c>
      <x:c r="C530" s="2" t="str">
        <x:f>INT(B530/10)*10&amp;"대"</x:f>
        <x:v>40대</x:v>
      </x:c>
      <x:c r="D530" s="2" t="str">
        <x:v>여성</x:v>
      </x:c>
      <x:c r="E530" s="7" t="n">
        <x:v>4000</x:v>
      </x:c>
      <x:c r="F530" s="7" t="n">
        <x:v>1</x:v>
      </x:c>
      <x:c r="G530" s="2" t="str">
        <x:v>기혼</x:v>
      </x:c>
      <x:c r="H530" s="7" t="n">
        <x:v>2</x:v>
      </x:c>
      <x:c r="I530" s="2" t="str">
        <x:f>IF(H530&lt;3,H530&amp;"명","3명 이상")</x:f>
        <x:v>2명</x:v>
      </x:c>
      <x:c r="J530" s="2" t="str">
        <x:v>흡연</x:v>
      </x:c>
      <x:c r="K530" s="2" t="str">
        <x:v>고혈압</x:v>
      </x:c>
      <x:c r="L530" s="2" t="str">
        <x:v>없음</x:v>
      </x:c>
      <x:c r="M530" s="2" t="str">
        <x:v>수호천사 간편심사(유병자)보험</x:v>
      </x:c>
      <x:c r="N530" s="2" t="str">
        <x:f>VLOOKUP(M530,'분류기준'!$A$5:$B$8,2,FALSE)</x:f>
        <x:v>간편심사보험</x:v>
      </x:c>
      <x:c r="O530" s="2" t="str">
        <x:v>중증질환 산정특례 보장 특약</x:v>
      </x:c>
      <x:c r="P530" s="2" t="str">
        <x:f>IF(O530="선택 안함","선택 안함",IF(O530="특약 없음","특약 없음","가입"))</x:f>
        <x:v>가입</x:v>
      </x:c>
      <x:c r="Q530" s="2" t="str">
        <x:f>IF(P530="가입","가입","미가입")</x:f>
        <x:v>가입</x:v>
      </x:c>
    </x:row>
    <x:row r="531" ht="23" customHeight="1">
      <x:c r="A531" s="2" t="str">
        <x:v>C0545</x:v>
      </x:c>
      <x:c r="B531" s="7" t="n">
        <x:v>44</x:v>
      </x:c>
      <x:c r="C531" s="2" t="str">
        <x:f>INT(B531/10)*10&amp;"대"</x:f>
        <x:v>40대</x:v>
      </x:c>
      <x:c r="D531" s="2" t="str">
        <x:v>여성</x:v>
      </x:c>
      <x:c r="E531" s="7" t="n">
        <x:v>5000</x:v>
      </x:c>
      <x:c r="F531" s="7" t="n">
        <x:v>2</x:v>
      </x:c>
      <x:c r="G531" s="2" t="str">
        <x:v>기혼</x:v>
      </x:c>
      <x:c r="H531" s="7" t="n">
        <x:v>0</x:v>
      </x:c>
      <x:c r="I531" s="2" t="str">
        <x:f>IF(H531&lt;3,H531&amp;"명","3명 이상")</x:f>
        <x:v>0명</x:v>
      </x:c>
      <x:c r="J531" s="2" t="str">
        <x:v>비흡연</x:v>
      </x:c>
      <x:c r="K531" s="2" t="str">
        <x:v>고혈압</x:v>
      </x:c>
      <x:c r="L531" s="2" t="str">
        <x:v>암</x:v>
      </x:c>
      <x:c r="M531" s="2" t="str">
        <x:v>수호천사 간편심사(유병자)보험</x:v>
      </x:c>
      <x:c r="N531" s="2" t="str">
        <x:f>VLOOKUP(M531,'분류기준'!$A$5:$B$8,2,FALSE)</x:f>
        <x:v>간편심사보험</x:v>
      </x:c>
      <x:c r="O531" s="2" t="str">
        <x:v>중증질환 산정특례 보장 특약</x:v>
      </x:c>
      <x:c r="P531" s="2" t="str">
        <x:f>IF(O531="선택 안함","선택 안함",IF(O531="특약 없음","특약 없음","가입"))</x:f>
        <x:v>가입</x:v>
      </x:c>
      <x:c r="Q531" s="2" t="str">
        <x:f>IF(P531="가입","가입","미가입")</x:f>
        <x:v>가입</x:v>
      </x:c>
    </x:row>
    <x:row r="532" ht="23" customHeight="1">
      <x:c r="A532" s="2" t="str">
        <x:v>C0551</x:v>
      </x:c>
      <x:c r="B532" s="7" t="n">
        <x:v>44</x:v>
      </x:c>
      <x:c r="C532" s="2" t="str">
        <x:f>INT(B532/10)*10&amp;"대"</x:f>
        <x:v>40대</x:v>
      </x:c>
      <x:c r="D532" s="2" t="str">
        <x:v>여성</x:v>
      </x:c>
      <x:c r="E532" s="7" t="n">
        <x:v>4000</x:v>
      </x:c>
      <x:c r="F532" s="7" t="n">
        <x:v>2</x:v>
      </x:c>
      <x:c r="G532" s="2" t="str">
        <x:v>기혼</x:v>
      </x:c>
      <x:c r="H532" s="7" t="n">
        <x:v>2</x:v>
      </x:c>
      <x:c r="I532" s="2" t="str">
        <x:f>IF(H532&lt;3,H532&amp;"명","3명 이상")</x:f>
        <x:v>2명</x:v>
      </x:c>
      <x:c r="J532" s="2" t="str">
        <x:v>흡연</x:v>
      </x:c>
      <x:c r="K532" s="2" t="str">
        <x:v>없음</x:v>
      </x:c>
      <x:c r="L532" s="2" t="str">
        <x:v>없음</x:v>
      </x:c>
      <x:c r="M532" s="2" t="str">
        <x:v>수호천사 암/건강보험</x:v>
      </x:c>
      <x:c r="N532" s="2" t="str">
        <x:f>VLOOKUP(M532,'분류기준'!$A$5:$B$8,2,FALSE)</x:f>
        <x:v>암/건강보험</x:v>
      </x:c>
      <x:c r="O532" s="2" t="str">
        <x:v>표적항암약물허가치료 특약</x:v>
      </x:c>
      <x:c r="P532" s="2" t="str">
        <x:f>IF(O532="선택 안함","선택 안함",IF(O532="특약 없음","특약 없음","가입"))</x:f>
        <x:v>가입</x:v>
      </x:c>
      <x:c r="Q532" s="2" t="str">
        <x:f>IF(P532="가입","가입","미가입")</x:f>
        <x:v>가입</x:v>
      </x:c>
    </x:row>
    <x:row r="533" ht="23" customHeight="1">
      <x:c r="A533" s="2" t="str">
        <x:v>C0570</x:v>
      </x:c>
      <x:c r="B533" s="7" t="n">
        <x:v>44</x:v>
      </x:c>
      <x:c r="C533" s="2" t="str">
        <x:f>INT(B533/10)*10&amp;"대"</x:f>
        <x:v>40대</x:v>
      </x:c>
      <x:c r="D533" s="2" t="str">
        <x:v>남성</x:v>
      </x:c>
      <x:c r="E533" s="7" t="n">
        <x:v>5000</x:v>
      </x:c>
      <x:c r="F533" s="7" t="n">
        <x:v>1</x:v>
      </x:c>
      <x:c r="G533" s="2" t="str">
        <x:v>기혼</x:v>
      </x:c>
      <x:c r="H533" s="7" t="n">
        <x:v>2</x:v>
      </x:c>
      <x:c r="I533" s="2" t="str">
        <x:f>IF(H533&lt;3,H533&amp;"명","3명 이상")</x:f>
        <x:v>2명</x:v>
      </x:c>
      <x:c r="J533" s="2" t="str">
        <x:v>비흡연</x:v>
      </x:c>
      <x:c r="K533" s="2" t="str">
        <x:v>당뇨</x:v>
      </x:c>
      <x:c r="L533" s="2" t="str">
        <x:v>암</x:v>
      </x:c>
      <x:c r="M533" s="2" t="str">
        <x:v>수호천사 간편심사(유병자)보험</x:v>
      </x:c>
      <x:c r="N533" s="2" t="str">
        <x:f>VLOOKUP(M533,'분류기준'!$A$5:$B$8,2,FALSE)</x:f>
        <x:v>간편심사보험</x:v>
      </x:c>
      <x:c r="O533" s="2" t="str">
        <x:v>선택 안함</x:v>
      </x:c>
      <x:c r="P533" s="2" t="str">
        <x:f>IF(O533="선택 안함","선택 안함",IF(O533="특약 없음","특약 없음","가입"))</x:f>
        <x:v>선택 안함</x:v>
      </x:c>
      <x:c r="Q533" s="2" t="str">
        <x:f>IF(P533="가입","가입","미가입")</x:f>
        <x:v>미가입</x:v>
      </x:c>
    </x:row>
    <x:row r="534" ht="23" customHeight="1">
      <x:c r="A534" s="2" t="str">
        <x:v>C0613</x:v>
      </x:c>
      <x:c r="B534" s="7" t="n">
        <x:v>44</x:v>
      </x:c>
      <x:c r="C534" s="2" t="str">
        <x:f>INT(B534/10)*10&amp;"대"</x:f>
        <x:v>40대</x:v>
      </x:c>
      <x:c r="D534" s="2" t="str">
        <x:v>남성</x:v>
      </x:c>
      <x:c r="E534" s="7" t="n">
        <x:v>7500</x:v>
      </x:c>
      <x:c r="F534" s="7" t="n">
        <x:v>1</x:v>
      </x:c>
      <x:c r="G534" s="2" t="str">
        <x:v>기혼</x:v>
      </x:c>
      <x:c r="H534" s="7" t="n">
        <x:v>2</x:v>
      </x:c>
      <x:c r="I534" s="2" t="str">
        <x:f>IF(H534&lt;3,H534&amp;"명","3명 이상")</x:f>
        <x:v>2명</x:v>
      </x:c>
      <x:c r="J534" s="2" t="str">
        <x:v>비흡연</x:v>
      </x:c>
      <x:c r="K534" s="2" t="str">
        <x:v>고혈압</x:v>
      </x:c>
      <x:c r="L534" s="2" t="str">
        <x:v>암</x:v>
      </x:c>
      <x:c r="M534" s="2" t="str">
        <x:v>수호천사 간편심사(유병자)보험</x:v>
      </x:c>
      <x:c r="N534" s="2" t="str">
        <x:f>VLOOKUP(M534,'분류기준'!$A$5:$B$8,2,FALSE)</x:f>
        <x:v>간편심사보험</x:v>
      </x:c>
      <x:c r="O534" s="2" t="str">
        <x:v>중증질환 산정특례 보장 특약</x:v>
      </x:c>
      <x:c r="P534" s="2" t="str">
        <x:f>IF(O534="선택 안함","선택 안함",IF(O534="특약 없음","특약 없음","가입"))</x:f>
        <x:v>가입</x:v>
      </x:c>
      <x:c r="Q534" s="2" t="str">
        <x:f>IF(P534="가입","가입","미가입")</x:f>
        <x:v>가입</x:v>
      </x:c>
    </x:row>
    <x:row r="535" ht="23" customHeight="1">
      <x:c r="A535" s="2" t="str">
        <x:v>C0640</x:v>
      </x:c>
      <x:c r="B535" s="7" t="n">
        <x:v>44</x:v>
      </x:c>
      <x:c r="C535" s="2" t="str">
        <x:f>INT(B535/10)*10&amp;"대"</x:f>
        <x:v>40대</x:v>
      </x:c>
      <x:c r="D535" s="2" t="str">
        <x:v>남성</x:v>
      </x:c>
      <x:c r="E535" s="7" t="n">
        <x:v>4000</x:v>
      </x:c>
      <x:c r="F535" s="7" t="n">
        <x:v>1</x:v>
      </x:c>
      <x:c r="G535" s="2" t="str">
        <x:v>기혼</x:v>
      </x:c>
      <x:c r="H535" s="7" t="n">
        <x:v>2</x:v>
      </x:c>
      <x:c r="I535" s="2" t="str">
        <x:f>IF(H535&lt;3,H535&amp;"명","3명 이상")</x:f>
        <x:v>2명</x:v>
      </x:c>
      <x:c r="J535" s="2" t="str">
        <x:v>비흡연</x:v>
      </x:c>
      <x:c r="K535" s="2" t="str">
        <x:v>없음</x:v>
      </x:c>
      <x:c r="L535" s="2" t="str">
        <x:v>없음</x:v>
      </x:c>
      <x:c r="M535" s="2" t="str">
        <x:v>수호천사 우리가족 종신보험</x:v>
      </x:c>
      <x:c r="N535" s="2" t="str">
        <x:f>VLOOKUP(M535,'분류기준'!$A$5:$B$8,2,FALSE)</x:f>
        <x:v>종신보험</x:v>
      </x:c>
      <x:c r="O535" s="2" t="str">
        <x:v>가족 수입 보장 특약</x:v>
      </x:c>
      <x:c r="P535" s="2" t="str">
        <x:f>IF(O535="선택 안함","선택 안함",IF(O535="특약 없음","특약 없음","가입"))</x:f>
        <x:v>가입</x:v>
      </x:c>
      <x:c r="Q535" s="2" t="str">
        <x:f>IF(P535="가입","가입","미가입")</x:f>
        <x:v>가입</x:v>
      </x:c>
    </x:row>
    <x:row r="536" ht="23" customHeight="1">
      <x:c r="A536" s="2" t="str">
        <x:v>C0700</x:v>
      </x:c>
      <x:c r="B536" s="7" t="n">
        <x:v>44</x:v>
      </x:c>
      <x:c r="C536" s="2" t="str">
        <x:f>INT(B536/10)*10&amp;"대"</x:f>
        <x:v>40대</x:v>
      </x:c>
      <x:c r="D536" s="2" t="str">
        <x:v>여성</x:v>
      </x:c>
      <x:c r="E536" s="7" t="n">
        <x:v>3000</x:v>
      </x:c>
      <x:c r="F536" s="7" t="n">
        <x:v>1</x:v>
      </x:c>
      <x:c r="G536" s="2" t="str">
        <x:v>미혼</x:v>
      </x:c>
      <x:c r="H536" s="7" t="n">
        <x:v>0</x:v>
      </x:c>
      <x:c r="I536" s="2" t="str">
        <x:f>IF(H536&lt;3,H536&amp;"명","3명 이상")</x:f>
        <x:v>0명</x:v>
      </x:c>
      <x:c r="J536" s="2" t="str">
        <x:v>비흡연</x:v>
      </x:c>
      <x:c r="K536" s="2" t="str">
        <x:v>없음</x:v>
      </x:c>
      <x:c r="L536" s="2" t="str">
        <x:v>없음</x:v>
      </x:c>
      <x:c r="M536" s="2" t="str">
        <x:v>수호천사 간편심사(유병자)보험</x:v>
      </x:c>
      <x:c r="N536" s="2" t="str">
        <x:f>VLOOKUP(M536,'분류기준'!$A$5:$B$8,2,FALSE)</x:f>
        <x:v>간편심사보험</x:v>
      </x:c>
      <x:c r="O536" s="2" t="str">
        <x:v>선택 안함</x:v>
      </x:c>
      <x:c r="P536" s="2" t="str">
        <x:f>IF(O536="선택 안함","선택 안함",IF(O536="특약 없음","특약 없음","가입"))</x:f>
        <x:v>선택 안함</x:v>
      </x:c>
      <x:c r="Q536" s="2" t="str">
        <x:f>IF(P536="가입","가입","미가입")</x:f>
        <x:v>미가입</x:v>
      </x:c>
    </x:row>
    <x:row r="537" ht="23" customHeight="1">
      <x:c r="A537" s="2" t="str">
        <x:v>C0713</x:v>
      </x:c>
      <x:c r="B537" s="7" t="n">
        <x:v>44</x:v>
      </x:c>
      <x:c r="C537" s="2" t="str">
        <x:f>INT(B537/10)*10&amp;"대"</x:f>
        <x:v>40대</x:v>
      </x:c>
      <x:c r="D537" s="2" t="str">
        <x:v>남성</x:v>
      </x:c>
      <x:c r="E537" s="7" t="n">
        <x:v>3000</x:v>
      </x:c>
      <x:c r="F537" s="7" t="n">
        <x:v>1</x:v>
      </x:c>
      <x:c r="G537" s="2" t="str">
        <x:v>미혼</x:v>
      </x:c>
      <x:c r="H537" s="7" t="n">
        <x:v>0</x:v>
      </x:c>
      <x:c r="I537" s="2" t="str">
        <x:f>IF(H537&lt;3,H537&amp;"명","3명 이상")</x:f>
        <x:v>0명</x:v>
      </x:c>
      <x:c r="J537" s="2" t="str">
        <x:v>비흡연</x:v>
      </x:c>
      <x:c r="K537" s="2" t="str">
        <x:v>없음</x:v>
      </x:c>
      <x:c r="L537" s="2" t="str">
        <x:v>없음</x:v>
      </x:c>
      <x:c r="M537" s="2" t="str">
        <x:v>수호천사 우리가족 종신보험</x:v>
      </x:c>
      <x:c r="N537" s="2" t="str">
        <x:f>VLOOKUP(M537,'분류기준'!$A$5:$B$8,2,FALSE)</x:f>
        <x:v>종신보험</x:v>
      </x:c>
      <x:c r="O537" s="2" t="str">
        <x:v>선택 안함</x:v>
      </x:c>
      <x:c r="P537" s="2" t="str">
        <x:f>IF(O537="선택 안함","선택 안함",IF(O537="특약 없음","특약 없음","가입"))</x:f>
        <x:v>선택 안함</x:v>
      </x:c>
      <x:c r="Q537" s="2" t="str">
        <x:f>IF(P537="가입","가입","미가입")</x:f>
        <x:v>미가입</x:v>
      </x:c>
    </x:row>
    <x:row r="538" ht="23" customHeight="1">
      <x:c r="A538" s="2" t="str">
        <x:v>C0814</x:v>
      </x:c>
      <x:c r="B538" s="7" t="n">
        <x:v>44</x:v>
      </x:c>
      <x:c r="C538" s="2" t="str">
        <x:f>INT(B538/10)*10&amp;"대"</x:f>
        <x:v>40대</x:v>
      </x:c>
      <x:c r="D538" s="2" t="str">
        <x:v>남성</x:v>
      </x:c>
      <x:c r="E538" s="7" t="n">
        <x:v>3000</x:v>
      </x:c>
      <x:c r="F538" s="7" t="n">
        <x:v>1</x:v>
      </x:c>
      <x:c r="G538" s="2" t="str">
        <x:v>기혼</x:v>
      </x:c>
      <x:c r="H538" s="7" t="n">
        <x:v>2</x:v>
      </x:c>
      <x:c r="I538" s="2" t="str">
        <x:f>IF(H538&lt;3,H538&amp;"명","3명 이상")</x:f>
        <x:v>2명</x:v>
      </x:c>
      <x:c r="J538" s="2" t="str">
        <x:v>비흡연</x:v>
      </x:c>
      <x:c r="K538" s="2" t="str">
        <x:v>고혈압</x:v>
      </x:c>
      <x:c r="L538" s="2" t="str">
        <x:v>암</x:v>
      </x:c>
      <x:c r="M538" s="2" t="str">
        <x:v>수호천사 암/건강보험</x:v>
      </x:c>
      <x:c r="N538" s="2" t="str">
        <x:f>VLOOKUP(M538,'분류기준'!$A$5:$B$8,2,FALSE)</x:f>
        <x:v>암/건강보험</x:v>
      </x:c>
      <x:c r="O538" s="2" t="str">
        <x:v>표적항암약물허가치료 특약</x:v>
      </x:c>
      <x:c r="P538" s="2" t="str">
        <x:f>IF(O538="선택 안함","선택 안함",IF(O538="특약 없음","특약 없음","가입"))</x:f>
        <x:v>가입</x:v>
      </x:c>
      <x:c r="Q538" s="2" t="str">
        <x:f>IF(P538="가입","가입","미가입")</x:f>
        <x:v>가입</x:v>
      </x:c>
    </x:row>
    <x:row r="539" ht="23" customHeight="1">
      <x:c r="A539" s="2" t="str">
        <x:v>C0874</x:v>
      </x:c>
      <x:c r="B539" s="7" t="n">
        <x:v>44</x:v>
      </x:c>
      <x:c r="C539" s="2" t="str">
        <x:f>INT(B539/10)*10&amp;"대"</x:f>
        <x:v>40대</x:v>
      </x:c>
      <x:c r="D539" s="2" t="str">
        <x:v>여성</x:v>
      </x:c>
      <x:c r="E539" s="7" t="n">
        <x:v>4000</x:v>
      </x:c>
      <x:c r="F539" s="7" t="n">
        <x:v>3</x:v>
      </x:c>
      <x:c r="G539" s="2" t="str">
        <x:v>기혼</x:v>
      </x:c>
      <x:c r="H539" s="7" t="n">
        <x:v>2</x:v>
      </x:c>
      <x:c r="I539" s="2" t="str">
        <x:f>IF(H539&lt;3,H539&amp;"명","3명 이상")</x:f>
        <x:v>2명</x:v>
      </x:c>
      <x:c r="J539" s="2" t="str">
        <x:v>흡연</x:v>
      </x:c>
      <x:c r="K539" s="2" t="str">
        <x:v>없음</x:v>
      </x:c>
      <x:c r="L539" s="2" t="str">
        <x:v>암</x:v>
      </x:c>
      <x:c r="M539" s="2" t="str">
        <x:v>수호천사 우리가족 종신보험</x:v>
      </x:c>
      <x:c r="N539" s="2" t="str">
        <x:f>VLOOKUP(M539,'분류기준'!$A$5:$B$8,2,FALSE)</x:f>
        <x:v>종신보험</x:v>
      </x:c>
      <x:c r="O539" s="2" t="str">
        <x:v>가족 수입 보장 특약</x:v>
      </x:c>
      <x:c r="P539" s="2" t="str">
        <x:f>IF(O539="선택 안함","선택 안함",IF(O539="특약 없음","특약 없음","가입"))</x:f>
        <x:v>가입</x:v>
      </x:c>
      <x:c r="Q539" s="2" t="str">
        <x:f>IF(P539="가입","가입","미가입")</x:f>
        <x:v>가입</x:v>
      </x:c>
    </x:row>
    <x:row r="540" ht="23" customHeight="1">
      <x:c r="A540" s="2" t="str">
        <x:v>C0884</x:v>
      </x:c>
      <x:c r="B540" s="7" t="n">
        <x:v>44</x:v>
      </x:c>
      <x:c r="C540" s="2" t="str">
        <x:f>INT(B540/10)*10&amp;"대"</x:f>
        <x:v>40대</x:v>
      </x:c>
      <x:c r="D540" s="2" t="str">
        <x:v>여성</x:v>
      </x:c>
      <x:c r="E540" s="7" t="n">
        <x:v>6000</x:v>
      </x:c>
      <x:c r="F540" s="7" t="n">
        <x:v>3</x:v>
      </x:c>
      <x:c r="G540" s="2" t="str">
        <x:v>기혼</x:v>
      </x:c>
      <x:c r="H540" s="7" t="n">
        <x:v>1</x:v>
      </x:c>
      <x:c r="I540" s="2" t="str">
        <x:f>IF(H540&lt;3,H540&amp;"명","3명 이상")</x:f>
        <x:v>1명</x:v>
      </x:c>
      <x:c r="J540" s="2" t="str">
        <x:v>흡연</x:v>
      </x:c>
      <x:c r="K540" s="2" t="str">
        <x:v>없음</x:v>
      </x:c>
      <x:c r="L540" s="2" t="str">
        <x:v>심혈관</x:v>
      </x:c>
      <x:c r="M540" s="2" t="str">
        <x:v>수호천사 우리가족 종신보험</x:v>
      </x:c>
      <x:c r="N540" s="2" t="str">
        <x:f>VLOOKUP(M540,'분류기준'!$A$5:$B$8,2,FALSE)</x:f>
        <x:v>종신보험</x:v>
      </x:c>
      <x:c r="O540" s="2" t="str">
        <x:v>선택 안함</x:v>
      </x:c>
      <x:c r="P540" s="2" t="str">
        <x:f>IF(O540="선택 안함","선택 안함",IF(O540="특약 없음","특약 없음","가입"))</x:f>
        <x:v>선택 안함</x:v>
      </x:c>
      <x:c r="Q540" s="2" t="str">
        <x:f>IF(P540="가입","가입","미가입")</x:f>
        <x:v>미가입</x:v>
      </x:c>
    </x:row>
    <x:row r="541" ht="23" customHeight="1">
      <x:c r="A541" s="2" t="str">
        <x:v>C0888</x:v>
      </x:c>
      <x:c r="B541" s="7" t="n">
        <x:v>44</x:v>
      </x:c>
      <x:c r="C541" s="2" t="str">
        <x:f>INT(B541/10)*10&amp;"대"</x:f>
        <x:v>40대</x:v>
      </x:c>
      <x:c r="D541" s="2" t="str">
        <x:v>여성</x:v>
      </x:c>
      <x:c r="E541" s="7" t="n">
        <x:v>5000</x:v>
      </x:c>
      <x:c r="F541" s="7" t="n">
        <x:v>1</x:v>
      </x:c>
      <x:c r="G541" s="2" t="str">
        <x:v>기혼</x:v>
      </x:c>
      <x:c r="H541" s="7" t="n">
        <x:v>1</x:v>
      </x:c>
      <x:c r="I541" s="2" t="str">
        <x:f>IF(H541&lt;3,H541&amp;"명","3명 이상")</x:f>
        <x:v>1명</x:v>
      </x:c>
      <x:c r="J541" s="2" t="str">
        <x:v>흡연</x:v>
      </x:c>
      <x:c r="K541" s="2" t="str">
        <x:v>고혈압</x:v>
      </x:c>
      <x:c r="L541" s="2" t="str">
        <x:v>없음</x:v>
      </x:c>
      <x:c r="M541" s="2" t="str">
        <x:v>수호천사 우리가족 종신보험</x:v>
      </x:c>
      <x:c r="N541" s="2" t="str">
        <x:f>VLOOKUP(M541,'분류기준'!$A$5:$B$8,2,FALSE)</x:f>
        <x:v>종신보험</x:v>
      </x:c>
      <x:c r="O541" s="2" t="str">
        <x:v>가족 수입 보장 특약</x:v>
      </x:c>
      <x:c r="P541" s="2" t="str">
        <x:f>IF(O541="선택 안함","선택 안함",IF(O541="특약 없음","특약 없음","가입"))</x:f>
        <x:v>가입</x:v>
      </x:c>
      <x:c r="Q541" s="2" t="str">
        <x:f>IF(P541="가입","가입","미가입")</x:f>
        <x:v>가입</x:v>
      </x:c>
    </x:row>
    <x:row r="542" ht="23" customHeight="1">
      <x:c r="A542" s="2" t="str">
        <x:v>C0047</x:v>
      </x:c>
      <x:c r="B542" s="7" t="n">
        <x:v>45</x:v>
      </x:c>
      <x:c r="C542" s="2" t="str">
        <x:f>INT(B542/10)*10&amp;"대"</x:f>
        <x:v>40대</x:v>
      </x:c>
      <x:c r="D542" s="2" t="str">
        <x:v>여성</x:v>
      </x:c>
      <x:c r="E542" s="7" t="n">
        <x:v>7500</x:v>
      </x:c>
      <x:c r="F542" s="7" t="n">
        <x:v>3</x:v>
      </x:c>
      <x:c r="G542" s="2" t="str">
        <x:v>기혼</x:v>
      </x:c>
      <x:c r="H542" s="7" t="n">
        <x:v>1</x:v>
      </x:c>
      <x:c r="I542" s="2" t="str">
        <x:f>IF(H542&lt;3,H542&amp;"명","3명 이상")</x:f>
        <x:v>1명</x:v>
      </x:c>
      <x:c r="J542" s="2" t="str">
        <x:v>비흡연</x:v>
      </x:c>
      <x:c r="K542" s="2" t="str">
        <x:v>없음</x:v>
      </x:c>
      <x:c r="L542" s="2" t="str">
        <x:v>없음</x:v>
      </x:c>
      <x:c r="M542" s="2" t="str">
        <x:v>수호천사 암/건강보험</x:v>
      </x:c>
      <x:c r="N542" s="2" t="str">
        <x:f>VLOOKUP(M542,'분류기준'!$A$5:$B$8,2,FALSE)</x:f>
        <x:v>암/건강보험</x:v>
      </x:c>
      <x:c r="O542" s="2" t="str">
        <x:v>표적항암약물허가치료 특약</x:v>
      </x:c>
      <x:c r="P542" s="2" t="str">
        <x:f>IF(O542="선택 안함","선택 안함",IF(O542="특약 없음","특약 없음","가입"))</x:f>
        <x:v>가입</x:v>
      </x:c>
      <x:c r="Q542" s="2" t="str">
        <x:f>IF(P542="가입","가입","미가입")</x:f>
        <x:v>가입</x:v>
      </x:c>
    </x:row>
    <x:row r="543" ht="23" customHeight="1">
      <x:c r="A543" s="2" t="str">
        <x:v>C0066</x:v>
      </x:c>
      <x:c r="B543" s="7" t="n">
        <x:v>45</x:v>
      </x:c>
      <x:c r="C543" s="2" t="str">
        <x:f>INT(B543/10)*10&amp;"대"</x:f>
        <x:v>40대</x:v>
      </x:c>
      <x:c r="D543" s="2" t="str">
        <x:v>남성</x:v>
      </x:c>
      <x:c r="E543" s="7" t="n">
        <x:v>5000</x:v>
      </x:c>
      <x:c r="F543" s="7" t="n">
        <x:v>1</x:v>
      </x:c>
      <x:c r="G543" s="2" t="str">
        <x:v>기혼</x:v>
      </x:c>
      <x:c r="H543" s="7" t="n">
        <x:v>0</x:v>
      </x:c>
      <x:c r="I543" s="2" t="str">
        <x:f>IF(H543&lt;3,H543&amp;"명","3명 이상")</x:f>
        <x:v>0명</x:v>
      </x:c>
      <x:c r="J543" s="2" t="str">
        <x:v>비흡연</x:v>
      </x:c>
      <x:c r="K543" s="2" t="str">
        <x:v>없음</x:v>
      </x:c>
      <x:c r="L543" s="2" t="str">
        <x:v>없음</x:v>
      </x:c>
      <x:c r="M543" s="2" t="str">
        <x:v>수호천사 우리가족 종신보험</x:v>
      </x:c>
      <x:c r="N543" s="2" t="str">
        <x:f>VLOOKUP(M543,'분류기준'!$A$5:$B$8,2,FALSE)</x:f>
        <x:v>종신보험</x:v>
      </x:c>
      <x:c r="O543" s="2" t="str">
        <x:v>가족 수입 보장 특약</x:v>
      </x:c>
      <x:c r="P543" s="2" t="str">
        <x:f>IF(O543="선택 안함","선택 안함",IF(O543="특약 없음","특약 없음","가입"))</x:f>
        <x:v>가입</x:v>
      </x:c>
      <x:c r="Q543" s="2" t="str">
        <x:f>IF(P543="가입","가입","미가입")</x:f>
        <x:v>가입</x:v>
      </x:c>
    </x:row>
    <x:row r="544" ht="23" customHeight="1">
      <x:c r="A544" s="2" t="str">
        <x:v>C0083</x:v>
      </x:c>
      <x:c r="B544" s="7" t="n">
        <x:v>45</x:v>
      </x:c>
      <x:c r="C544" s="2" t="str">
        <x:f>INT(B544/10)*10&amp;"대"</x:f>
        <x:v>40대</x:v>
      </x:c>
      <x:c r="D544" s="2" t="str">
        <x:v>남성</x:v>
      </x:c>
      <x:c r="E544" s="7" t="n">
        <x:v>9000</x:v>
      </x:c>
      <x:c r="F544" s="7" t="n">
        <x:v>3</x:v>
      </x:c>
      <x:c r="G544" s="2" t="str">
        <x:v>기혼</x:v>
      </x:c>
      <x:c r="H544" s="7" t="n">
        <x:v>2</x:v>
      </x:c>
      <x:c r="I544" s="2" t="str">
        <x:f>IF(H544&lt;3,H544&amp;"명","3명 이상")</x:f>
        <x:v>2명</x:v>
      </x:c>
      <x:c r="J544" s="2" t="str">
        <x:v>비흡연</x:v>
      </x:c>
      <x:c r="K544" s="2" t="str">
        <x:v>고혈압</x:v>
      </x:c>
      <x:c r="L544" s="2" t="str">
        <x:v>심혈관</x:v>
      </x:c>
      <x:c r="M544" s="2" t="str">
        <x:v>수호천사 간편심사(유병자)보험</x:v>
      </x:c>
      <x:c r="N544" s="2" t="str">
        <x:f>VLOOKUP(M544,'분류기준'!$A$5:$B$8,2,FALSE)</x:f>
        <x:v>간편심사보험</x:v>
      </x:c>
      <x:c r="O544" s="2" t="str">
        <x:v>선택 안함</x:v>
      </x:c>
      <x:c r="P544" s="2" t="str">
        <x:f>IF(O544="선택 안함","선택 안함",IF(O544="특약 없음","특약 없음","가입"))</x:f>
        <x:v>선택 안함</x:v>
      </x:c>
      <x:c r="Q544" s="2" t="str">
        <x:f>IF(P544="가입","가입","미가입")</x:f>
        <x:v>미가입</x:v>
      </x:c>
    </x:row>
    <x:row r="545" ht="23" customHeight="1">
      <x:c r="A545" s="2" t="str">
        <x:v>C0132</x:v>
      </x:c>
      <x:c r="B545" s="7" t="n">
        <x:v>45</x:v>
      </x:c>
      <x:c r="C545" s="2" t="str">
        <x:f>INT(B545/10)*10&amp;"대"</x:f>
        <x:v>40대</x:v>
      </x:c>
      <x:c r="D545" s="2" t="str">
        <x:v>남성</x:v>
      </x:c>
      <x:c r="E545" s="7" t="n">
        <x:v>5000</x:v>
      </x:c>
      <x:c r="F545" s="7" t="n">
        <x:v>1</x:v>
      </x:c>
      <x:c r="G545" s="2" t="str">
        <x:v>기혼</x:v>
      </x:c>
      <x:c r="H545" s="7" t="n">
        <x:v>2</x:v>
      </x:c>
      <x:c r="I545" s="2" t="str">
        <x:f>IF(H545&lt;3,H545&amp;"명","3명 이상")</x:f>
        <x:v>2명</x:v>
      </x:c>
      <x:c r="J545" s="2" t="str">
        <x:v>비흡연</x:v>
      </x:c>
      <x:c r="K545" s="2" t="str">
        <x:v>고혈압</x:v>
      </x:c>
      <x:c r="L545" s="2" t="str">
        <x:v>없음</x:v>
      </x:c>
      <x:c r="M545" s="2" t="str">
        <x:v>수호천사 우리가족 종신보험</x:v>
      </x:c>
      <x:c r="N545" s="2" t="str">
        <x:f>VLOOKUP(M545,'분류기준'!$A$5:$B$8,2,FALSE)</x:f>
        <x:v>종신보험</x:v>
      </x:c>
      <x:c r="O545" s="2" t="str">
        <x:v>가족 수입 보장 특약</x:v>
      </x:c>
      <x:c r="P545" s="2" t="str">
        <x:f>IF(O545="선택 안함","선택 안함",IF(O545="특약 없음","특약 없음","가입"))</x:f>
        <x:v>가입</x:v>
      </x:c>
      <x:c r="Q545" s="2" t="str">
        <x:f>IF(P545="가입","가입","미가입")</x:f>
        <x:v>가입</x:v>
      </x:c>
    </x:row>
    <x:row r="546" ht="23" customHeight="1">
      <x:c r="A546" s="2" t="str">
        <x:v>C0139</x:v>
      </x:c>
      <x:c r="B546" s="7" t="n">
        <x:v>45</x:v>
      </x:c>
      <x:c r="C546" s="2" t="str">
        <x:f>INT(B546/10)*10&amp;"대"</x:f>
        <x:v>40대</x:v>
      </x:c>
      <x:c r="D546" s="2" t="str">
        <x:v>여성</x:v>
      </x:c>
      <x:c r="E546" s="7" t="n">
        <x:v>3000</x:v>
      </x:c>
      <x:c r="F546" s="7" t="n">
        <x:v>1</x:v>
      </x:c>
      <x:c r="G546" s="2" t="str">
        <x:v>기혼</x:v>
      </x:c>
      <x:c r="H546" s="7" t="n">
        <x:v>2</x:v>
      </x:c>
      <x:c r="I546" s="2" t="str">
        <x:f>IF(H546&lt;3,H546&amp;"명","3명 이상")</x:f>
        <x:v>2명</x:v>
      </x:c>
      <x:c r="J546" s="2" t="str">
        <x:v>비흡연</x:v>
      </x:c>
      <x:c r="K546" s="2" t="str">
        <x:v>고혈압</x:v>
      </x:c>
      <x:c r="L546" s="2" t="str">
        <x:v>심혈관</x:v>
      </x:c>
      <x:c r="M546" s="2" t="str">
        <x:v>수호천사 우리가족 종신보험</x:v>
      </x:c>
      <x:c r="N546" s="2" t="str">
        <x:f>VLOOKUP(M546,'분류기준'!$A$5:$B$8,2,FALSE)</x:f>
        <x:v>종신보험</x:v>
      </x:c>
      <x:c r="O546" s="2" t="str">
        <x:v>가족 수입 보장 특약</x:v>
      </x:c>
      <x:c r="P546" s="2" t="str">
        <x:f>IF(O546="선택 안함","선택 안함",IF(O546="특약 없음","특약 없음","가입"))</x:f>
        <x:v>가입</x:v>
      </x:c>
      <x:c r="Q546" s="2" t="str">
        <x:f>IF(P546="가입","가입","미가입")</x:f>
        <x:v>가입</x:v>
      </x:c>
    </x:row>
    <x:row r="547" ht="23" customHeight="1">
      <x:c r="A547" s="2" t="str">
        <x:v>C0212</x:v>
      </x:c>
      <x:c r="B547" s="7" t="n">
        <x:v>45</x:v>
      </x:c>
      <x:c r="C547" s="2" t="str">
        <x:f>INT(B547/10)*10&amp;"대"</x:f>
        <x:v>40대</x:v>
      </x:c>
      <x:c r="D547" s="2" t="str">
        <x:v>여성</x:v>
      </x:c>
      <x:c r="E547" s="7" t="n">
        <x:v>5000</x:v>
      </x:c>
      <x:c r="F547" s="7" t="n">
        <x:v>1</x:v>
      </x:c>
      <x:c r="G547" s="2" t="str">
        <x:v>기혼</x:v>
      </x:c>
      <x:c r="H547" s="7" t="n">
        <x:v>2</x:v>
      </x:c>
      <x:c r="I547" s="2" t="str">
        <x:f>IF(H547&lt;3,H547&amp;"명","3명 이상")</x:f>
        <x:v>2명</x:v>
      </x:c>
      <x:c r="J547" s="2" t="str">
        <x:v>비흡연</x:v>
      </x:c>
      <x:c r="K547" s="2" t="str">
        <x:v>없음</x:v>
      </x:c>
      <x:c r="L547" s="2" t="str">
        <x:v>암</x:v>
      </x:c>
      <x:c r="M547" s="2" t="str">
        <x:v>수호천사 암/건강보험</x:v>
      </x:c>
      <x:c r="N547" s="2" t="str">
        <x:f>VLOOKUP(M547,'분류기준'!$A$5:$B$8,2,FALSE)</x:f>
        <x:v>암/건강보험</x:v>
      </x:c>
      <x:c r="O547" s="2" t="str">
        <x:v>표적항암약물허가치료 특약</x:v>
      </x:c>
      <x:c r="P547" s="2" t="str">
        <x:f>IF(O547="선택 안함","선택 안함",IF(O547="특약 없음","특약 없음","가입"))</x:f>
        <x:v>가입</x:v>
      </x:c>
      <x:c r="Q547" s="2" t="str">
        <x:f>IF(P547="가입","가입","미가입")</x:f>
        <x:v>가입</x:v>
      </x:c>
    </x:row>
    <x:row r="548" ht="23" customHeight="1">
      <x:c r="A548" s="2" t="str">
        <x:v>C0236</x:v>
      </x:c>
      <x:c r="B548" s="7" t="n">
        <x:v>45</x:v>
      </x:c>
      <x:c r="C548" s="2" t="str">
        <x:f>INT(B548/10)*10&amp;"대"</x:f>
        <x:v>40대</x:v>
      </x:c>
      <x:c r="D548" s="2" t="str">
        <x:v>여성</x:v>
      </x:c>
      <x:c r="E548" s="7" t="n">
        <x:v>5000</x:v>
      </x:c>
      <x:c r="F548" s="7" t="n">
        <x:v>1</x:v>
      </x:c>
      <x:c r="G548" s="2" t="str">
        <x:v>기혼</x:v>
      </x:c>
      <x:c r="H548" s="7" t="n">
        <x:v>1</x:v>
      </x:c>
      <x:c r="I548" s="2" t="str">
        <x:f>IF(H548&lt;3,H548&amp;"명","3명 이상")</x:f>
        <x:v>1명</x:v>
      </x:c>
      <x:c r="J548" s="2" t="str">
        <x:v>비흡연</x:v>
      </x:c>
      <x:c r="K548" s="2" t="str">
        <x:v>없음</x:v>
      </x:c>
      <x:c r="L548" s="2" t="str">
        <x:v>암</x:v>
      </x:c>
      <x:c r="M548" s="2" t="str">
        <x:v>수호천사 암/건강보험</x:v>
      </x:c>
      <x:c r="N548" s="2" t="str">
        <x:f>VLOOKUP(M548,'분류기준'!$A$5:$B$8,2,FALSE)</x:f>
        <x:v>암/건강보험</x:v>
      </x:c>
      <x:c r="O548" s="2" t="str">
        <x:v>표적항암약물허가치료 특약</x:v>
      </x:c>
      <x:c r="P548" s="2" t="str">
        <x:f>IF(O548="선택 안함","선택 안함",IF(O548="특약 없음","특약 없음","가입"))</x:f>
        <x:v>가입</x:v>
      </x:c>
      <x:c r="Q548" s="2" t="str">
        <x:f>IF(P548="가입","가입","미가입")</x:f>
        <x:v>가입</x:v>
      </x:c>
    </x:row>
    <x:row r="549" ht="23" customHeight="1">
      <x:c r="A549" s="2" t="str">
        <x:v>C0259</x:v>
      </x:c>
      <x:c r="B549" s="7" t="n">
        <x:v>45</x:v>
      </x:c>
      <x:c r="C549" s="2" t="str">
        <x:f>INT(B549/10)*10&amp;"대"</x:f>
        <x:v>40대</x:v>
      </x:c>
      <x:c r="D549" s="2" t="str">
        <x:v>남성</x:v>
      </x:c>
      <x:c r="E549" s="7" t="n">
        <x:v>4000</x:v>
      </x:c>
      <x:c r="F549" s="7" t="n">
        <x:v>1</x:v>
      </x:c>
      <x:c r="G549" s="2" t="str">
        <x:v>기혼</x:v>
      </x:c>
      <x:c r="H549" s="7" t="n">
        <x:v>1</x:v>
      </x:c>
      <x:c r="I549" s="2" t="str">
        <x:f>IF(H549&lt;3,H549&amp;"명","3명 이상")</x:f>
        <x:v>1명</x:v>
      </x:c>
      <x:c r="J549" s="2" t="str">
        <x:v>흡연</x:v>
      </x:c>
      <x:c r="K549" s="2" t="str">
        <x:v>고혈압</x:v>
      </x:c>
      <x:c r="L549" s="2" t="str">
        <x:v>없음</x:v>
      </x:c>
      <x:c r="M549" s="2" t="str">
        <x:v>수호천사 간편심사(유병자)보험</x:v>
      </x:c>
      <x:c r="N549" s="2" t="str">
        <x:f>VLOOKUP(M549,'분류기준'!$A$5:$B$8,2,FALSE)</x:f>
        <x:v>간편심사보험</x:v>
      </x:c>
      <x:c r="O549" s="2" t="str">
        <x:v>선택 안함</x:v>
      </x:c>
      <x:c r="P549" s="2" t="str">
        <x:f>IF(O549="선택 안함","선택 안함",IF(O549="특약 없음","특약 없음","가입"))</x:f>
        <x:v>선택 안함</x:v>
      </x:c>
      <x:c r="Q549" s="2" t="str">
        <x:f>IF(P549="가입","가입","미가입")</x:f>
        <x:v>미가입</x:v>
      </x:c>
    </x:row>
    <x:row r="550" ht="23" customHeight="1">
      <x:c r="A550" s="2" t="str">
        <x:v>C0363</x:v>
      </x:c>
      <x:c r="B550" s="7" t="n">
        <x:v>45</x:v>
      </x:c>
      <x:c r="C550" s="2" t="str">
        <x:f>INT(B550/10)*10&amp;"대"</x:f>
        <x:v>40대</x:v>
      </x:c>
      <x:c r="D550" s="2" t="str">
        <x:v>여성</x:v>
      </x:c>
      <x:c r="E550" s="7" t="n">
        <x:v>6000</x:v>
      </x:c>
      <x:c r="F550" s="7" t="n">
        <x:v>1</x:v>
      </x:c>
      <x:c r="G550" s="2" t="str">
        <x:v>기혼</x:v>
      </x:c>
      <x:c r="H550" s="7" t="n">
        <x:v>1</x:v>
      </x:c>
      <x:c r="I550" s="2" t="str">
        <x:f>IF(H550&lt;3,H550&amp;"명","3명 이상")</x:f>
        <x:v>1명</x:v>
      </x:c>
      <x:c r="J550" s="2" t="str">
        <x:v>비흡연</x:v>
      </x:c>
      <x:c r="K550" s="2" t="str">
        <x:v>당뇨</x:v>
      </x:c>
      <x:c r="L550" s="2" t="str">
        <x:v>심혈관</x:v>
      </x:c>
      <x:c r="M550" s="2" t="str">
        <x:v>수호천사 암/건강보험</x:v>
      </x:c>
      <x:c r="N550" s="2" t="str">
        <x:f>VLOOKUP(M550,'분류기준'!$A$5:$B$8,2,FALSE)</x:f>
        <x:v>암/건강보험</x:v>
      </x:c>
      <x:c r="O550" s="2" t="str">
        <x:v>표적항암약물허가치료 특약</x:v>
      </x:c>
      <x:c r="P550" s="2" t="str">
        <x:f>IF(O550="선택 안함","선택 안함",IF(O550="특약 없음","특약 없음","가입"))</x:f>
        <x:v>가입</x:v>
      </x:c>
      <x:c r="Q550" s="2" t="str">
        <x:f>IF(P550="가입","가입","미가입")</x:f>
        <x:v>가입</x:v>
      </x:c>
    </x:row>
    <x:row r="551" ht="23" customHeight="1">
      <x:c r="A551" s="2" t="str">
        <x:v>C0372</x:v>
      </x:c>
      <x:c r="B551" s="7" t="n">
        <x:v>45</x:v>
      </x:c>
      <x:c r="C551" s="2" t="str">
        <x:f>INT(B551/10)*10&amp;"대"</x:f>
        <x:v>40대</x:v>
      </x:c>
      <x:c r="D551" s="2" t="str">
        <x:v>남성</x:v>
      </x:c>
      <x:c r="E551" s="7" t="n">
        <x:v>4000</x:v>
      </x:c>
      <x:c r="F551" s="7" t="n">
        <x:v>2</x:v>
      </x:c>
      <x:c r="G551" s="2" t="str">
        <x:v>기혼</x:v>
      </x:c>
      <x:c r="H551" s="7" t="n">
        <x:v>0</x:v>
      </x:c>
      <x:c r="I551" s="2" t="str">
        <x:f>IF(H551&lt;3,H551&amp;"명","3명 이상")</x:f>
        <x:v>0명</x:v>
      </x:c>
      <x:c r="J551" s="2" t="str">
        <x:v>비흡연</x:v>
      </x:c>
      <x:c r="K551" s="2" t="str">
        <x:v>없음</x:v>
      </x:c>
      <x:c r="L551" s="2" t="str">
        <x:v>심혈관</x:v>
      </x:c>
      <x:c r="M551" s="2" t="str">
        <x:v>수호천사 행복 연금보험</x:v>
      </x:c>
      <x:c r="N551" s="2" t="str">
        <x:f>VLOOKUP(M551,'분류기준'!$A$5:$B$8,2,FALSE)</x:f>
        <x:v>연금보험</x:v>
      </x:c>
      <x:c r="O551" s="2" t="str">
        <x:v>특약 없음</x:v>
      </x:c>
      <x:c r="P551" s="2" t="str">
        <x:f>IF(O551="선택 안함","선택 안함",IF(O551="특약 없음","특약 없음","가입"))</x:f>
        <x:v>특약 없음</x:v>
      </x:c>
      <x:c r="Q551" s="2" t="str">
        <x:f>IF(P551="가입","가입","미가입")</x:f>
        <x:v>미가입</x:v>
      </x:c>
    </x:row>
    <x:row r="552" ht="23" customHeight="1">
      <x:c r="A552" s="2" t="str">
        <x:v>C0424</x:v>
      </x:c>
      <x:c r="B552" s="7" t="n">
        <x:v>45</x:v>
      </x:c>
      <x:c r="C552" s="2" t="str">
        <x:f>INT(B552/10)*10&amp;"대"</x:f>
        <x:v>40대</x:v>
      </x:c>
      <x:c r="D552" s="2" t="str">
        <x:v>여성</x:v>
      </x:c>
      <x:c r="E552" s="7" t="n">
        <x:v>4000</x:v>
      </x:c>
      <x:c r="F552" s="7" t="n">
        <x:v>2</x:v>
      </x:c>
      <x:c r="G552" s="2" t="str">
        <x:v>기혼</x:v>
      </x:c>
      <x:c r="H552" s="7" t="n">
        <x:v>1</x:v>
      </x:c>
      <x:c r="I552" s="2" t="str">
        <x:f>IF(H552&lt;3,H552&amp;"명","3명 이상")</x:f>
        <x:v>1명</x:v>
      </x:c>
      <x:c r="J552" s="2" t="str">
        <x:v>비흡연</x:v>
      </x:c>
      <x:c r="K552" s="2" t="str">
        <x:v>없음</x:v>
      </x:c>
      <x:c r="L552" s="2" t="str">
        <x:v>없음</x:v>
      </x:c>
      <x:c r="M552" s="2" t="str">
        <x:v>수호천사 우리가족 종신보험</x:v>
      </x:c>
      <x:c r="N552" s="2" t="str">
        <x:f>VLOOKUP(M552,'분류기준'!$A$5:$B$8,2,FALSE)</x:f>
        <x:v>종신보험</x:v>
      </x:c>
      <x:c r="O552" s="2" t="str">
        <x:v>가족 수입 보장 특약</x:v>
      </x:c>
      <x:c r="P552" s="2" t="str">
        <x:f>IF(O552="선택 안함","선택 안함",IF(O552="특약 없음","특약 없음","가입"))</x:f>
        <x:v>가입</x:v>
      </x:c>
      <x:c r="Q552" s="2" t="str">
        <x:f>IF(P552="가입","가입","미가입")</x:f>
        <x:v>가입</x:v>
      </x:c>
    </x:row>
    <x:row r="553" ht="23" customHeight="1">
      <x:c r="A553" s="2" t="str">
        <x:v>C0426</x:v>
      </x:c>
      <x:c r="B553" s="7" t="n">
        <x:v>45</x:v>
      </x:c>
      <x:c r="C553" s="2" t="str">
        <x:f>INT(B553/10)*10&amp;"대"</x:f>
        <x:v>40대</x:v>
      </x:c>
      <x:c r="D553" s="2" t="str">
        <x:v>남성</x:v>
      </x:c>
      <x:c r="E553" s="7" t="n">
        <x:v>7500</x:v>
      </x:c>
      <x:c r="F553" s="7" t="n">
        <x:v>2</x:v>
      </x:c>
      <x:c r="G553" s="2" t="str">
        <x:v>기혼</x:v>
      </x:c>
      <x:c r="H553" s="7" t="n">
        <x:v>1</x:v>
      </x:c>
      <x:c r="I553" s="2" t="str">
        <x:f>IF(H553&lt;3,H553&amp;"명","3명 이상")</x:f>
        <x:v>1명</x:v>
      </x:c>
      <x:c r="J553" s="2" t="str">
        <x:v>비흡연</x:v>
      </x:c>
      <x:c r="K553" s="2" t="str">
        <x:v>없음</x:v>
      </x:c>
      <x:c r="L553" s="2" t="str">
        <x:v>없음</x:v>
      </x:c>
      <x:c r="M553" s="2" t="str">
        <x:v>수호천사 간편심사(유병자)보험</x:v>
      </x:c>
      <x:c r="N553" s="2" t="str">
        <x:f>VLOOKUP(M553,'분류기준'!$A$5:$B$8,2,FALSE)</x:f>
        <x:v>간편심사보험</x:v>
      </x:c>
      <x:c r="O553" s="2" t="str">
        <x:v>중증질환 산정특례 보장 특약</x:v>
      </x:c>
      <x:c r="P553" s="2" t="str">
        <x:f>IF(O553="선택 안함","선택 안함",IF(O553="특약 없음","특약 없음","가입"))</x:f>
        <x:v>가입</x:v>
      </x:c>
      <x:c r="Q553" s="2" t="str">
        <x:f>IF(P553="가입","가입","미가입")</x:f>
        <x:v>가입</x:v>
      </x:c>
    </x:row>
    <x:row r="554" ht="23" customHeight="1">
      <x:c r="A554" s="2" t="str">
        <x:v>C0445</x:v>
      </x:c>
      <x:c r="B554" s="7" t="n">
        <x:v>45</x:v>
      </x:c>
      <x:c r="C554" s="2" t="str">
        <x:f>INT(B554/10)*10&amp;"대"</x:f>
        <x:v>40대</x:v>
      </x:c>
      <x:c r="D554" s="2" t="str">
        <x:v>남성</x:v>
      </x:c>
      <x:c r="E554" s="7" t="n">
        <x:v>6000</x:v>
      </x:c>
      <x:c r="F554" s="7" t="n">
        <x:v>1</x:v>
      </x:c>
      <x:c r="G554" s="2" t="str">
        <x:v>기혼</x:v>
      </x:c>
      <x:c r="H554" s="7" t="n">
        <x:v>1</x:v>
      </x:c>
      <x:c r="I554" s="2" t="str">
        <x:f>IF(H554&lt;3,H554&amp;"명","3명 이상")</x:f>
        <x:v>1명</x:v>
      </x:c>
      <x:c r="J554" s="2" t="str">
        <x:v>비흡연</x:v>
      </x:c>
      <x:c r="K554" s="2" t="str">
        <x:v>없음</x:v>
      </x:c>
      <x:c r="L554" s="2" t="str">
        <x:v>심혈관</x:v>
      </x:c>
      <x:c r="M554" s="2" t="str">
        <x:v>수호천사 행복 연금보험</x:v>
      </x:c>
      <x:c r="N554" s="2" t="str">
        <x:f>VLOOKUP(M554,'분류기준'!$A$5:$B$8,2,FALSE)</x:f>
        <x:v>연금보험</x:v>
      </x:c>
      <x:c r="O554" s="2" t="str">
        <x:v>특약 없음</x:v>
      </x:c>
      <x:c r="P554" s="2" t="str">
        <x:f>IF(O554="선택 안함","선택 안함",IF(O554="특약 없음","특약 없음","가입"))</x:f>
        <x:v>특약 없음</x:v>
      </x:c>
      <x:c r="Q554" s="2" t="str">
        <x:f>IF(P554="가입","가입","미가입")</x:f>
        <x:v>미가입</x:v>
      </x:c>
    </x:row>
    <x:row r="555" ht="23" customHeight="1">
      <x:c r="A555" s="2" t="str">
        <x:v>C0458</x:v>
      </x:c>
      <x:c r="B555" s="7" t="n">
        <x:v>45</x:v>
      </x:c>
      <x:c r="C555" s="2" t="str">
        <x:f>INT(B555/10)*10&amp;"대"</x:f>
        <x:v>40대</x:v>
      </x:c>
      <x:c r="D555" s="2" t="str">
        <x:v>여성</x:v>
      </x:c>
      <x:c r="E555" s="7" t="n">
        <x:v>4000</x:v>
      </x:c>
      <x:c r="F555" s="7" t="n">
        <x:v>2</x:v>
      </x:c>
      <x:c r="G555" s="2" t="str">
        <x:v>기혼</x:v>
      </x:c>
      <x:c r="H555" s="7" t="n">
        <x:v>0</x:v>
      </x:c>
      <x:c r="I555" s="2" t="str">
        <x:f>IF(H555&lt;3,H555&amp;"명","3명 이상")</x:f>
        <x:v>0명</x:v>
      </x:c>
      <x:c r="J555" s="2" t="str">
        <x:v>비흡연</x:v>
      </x:c>
      <x:c r="K555" s="2" t="str">
        <x:v>고혈압</x:v>
      </x:c>
      <x:c r="L555" s="2" t="str">
        <x:v>없음</x:v>
      </x:c>
      <x:c r="M555" s="2" t="str">
        <x:v>수호천사 암/건강보험</x:v>
      </x:c>
      <x:c r="N555" s="2" t="str">
        <x:f>VLOOKUP(M555,'분류기준'!$A$5:$B$8,2,FALSE)</x:f>
        <x:v>암/건강보험</x:v>
      </x:c>
      <x:c r="O555" s="2" t="str">
        <x:v>수술비 보장 특약</x:v>
      </x:c>
      <x:c r="P555" s="2" t="str">
        <x:f>IF(O555="선택 안함","선택 안함",IF(O555="특약 없음","특약 없음","가입"))</x:f>
        <x:v>가입</x:v>
      </x:c>
      <x:c r="Q555" s="2" t="str">
        <x:f>IF(P555="가입","가입","미가입")</x:f>
        <x:v>가입</x:v>
      </x:c>
    </x:row>
    <x:row r="556" ht="23" customHeight="1">
      <x:c r="A556" s="2" t="str">
        <x:v>C0459</x:v>
      </x:c>
      <x:c r="B556" s="7" t="n">
        <x:v>45</x:v>
      </x:c>
      <x:c r="C556" s="2" t="str">
        <x:f>INT(B556/10)*10&amp;"대"</x:f>
        <x:v>40대</x:v>
      </x:c>
      <x:c r="D556" s="2" t="str">
        <x:v>남성</x:v>
      </x:c>
      <x:c r="E556" s="7" t="n">
        <x:v>3000</x:v>
      </x:c>
      <x:c r="F556" s="7" t="n">
        <x:v>1</x:v>
      </x:c>
      <x:c r="G556" s="2" t="str">
        <x:v>기혼</x:v>
      </x:c>
      <x:c r="H556" s="7" t="n">
        <x:v>1</x:v>
      </x:c>
      <x:c r="I556" s="2" t="str">
        <x:f>IF(H556&lt;3,H556&amp;"명","3명 이상")</x:f>
        <x:v>1명</x:v>
      </x:c>
      <x:c r="J556" s="2" t="str">
        <x:v>비흡연</x:v>
      </x:c>
      <x:c r="K556" s="2" t="str">
        <x:v>고혈압</x:v>
      </x:c>
      <x:c r="L556" s="2" t="str">
        <x:v>없음</x:v>
      </x:c>
      <x:c r="M556" s="2" t="str">
        <x:v>수호천사 우리가족 종신보험</x:v>
      </x:c>
      <x:c r="N556" s="2" t="str">
        <x:f>VLOOKUP(M556,'분류기준'!$A$5:$B$8,2,FALSE)</x:f>
        <x:v>종신보험</x:v>
      </x:c>
      <x:c r="O556" s="2" t="str">
        <x:v>가족 수입 보장 특약</x:v>
      </x:c>
      <x:c r="P556" s="2" t="str">
        <x:f>IF(O556="선택 안함","선택 안함",IF(O556="특약 없음","특약 없음","가입"))</x:f>
        <x:v>가입</x:v>
      </x:c>
      <x:c r="Q556" s="2" t="str">
        <x:f>IF(P556="가입","가입","미가입")</x:f>
        <x:v>가입</x:v>
      </x:c>
    </x:row>
    <x:row r="557" ht="23" customHeight="1">
      <x:c r="A557" s="2" t="str">
        <x:v>C0511</x:v>
      </x:c>
      <x:c r="B557" s="7" t="n">
        <x:v>45</x:v>
      </x:c>
      <x:c r="C557" s="2" t="str">
        <x:f>INT(B557/10)*10&amp;"대"</x:f>
        <x:v>40대</x:v>
      </x:c>
      <x:c r="D557" s="2" t="str">
        <x:v>여성</x:v>
      </x:c>
      <x:c r="E557" s="7" t="n">
        <x:v>7500</x:v>
      </x:c>
      <x:c r="F557" s="7" t="n">
        <x:v>1</x:v>
      </x:c>
      <x:c r="G557" s="2" t="str">
        <x:v>기혼</x:v>
      </x:c>
      <x:c r="H557" s="7" t="n">
        <x:v>0</x:v>
      </x:c>
      <x:c r="I557" s="2" t="str">
        <x:f>IF(H557&lt;3,H557&amp;"명","3명 이상")</x:f>
        <x:v>0명</x:v>
      </x:c>
      <x:c r="J557" s="2" t="str">
        <x:v>흡연</x:v>
      </x:c>
      <x:c r="K557" s="2" t="str">
        <x:v>당뇨</x:v>
      </x:c>
      <x:c r="L557" s="2" t="str">
        <x:v>없음</x:v>
      </x:c>
      <x:c r="M557" s="2" t="str">
        <x:v>수호천사 간편심사(유병자)보험</x:v>
      </x:c>
      <x:c r="N557" s="2" t="str">
        <x:f>VLOOKUP(M557,'분류기준'!$A$5:$B$8,2,FALSE)</x:f>
        <x:v>간편심사보험</x:v>
      </x:c>
      <x:c r="O557" s="2" t="str">
        <x:v>중증질환 산정특례 보장 특약</x:v>
      </x:c>
      <x:c r="P557" s="2" t="str">
        <x:f>IF(O557="선택 안함","선택 안함",IF(O557="특약 없음","특약 없음","가입"))</x:f>
        <x:v>가입</x:v>
      </x:c>
      <x:c r="Q557" s="2" t="str">
        <x:f>IF(P557="가입","가입","미가입")</x:f>
        <x:v>가입</x:v>
      </x:c>
    </x:row>
    <x:row r="558" ht="23" customHeight="1">
      <x:c r="A558" s="2" t="str">
        <x:v>C0514</x:v>
      </x:c>
      <x:c r="B558" s="7" t="n">
        <x:v>45</x:v>
      </x:c>
      <x:c r="C558" s="2" t="str">
        <x:f>INT(B558/10)*10&amp;"대"</x:f>
        <x:v>40대</x:v>
      </x:c>
      <x:c r="D558" s="2" t="str">
        <x:v>남성</x:v>
      </x:c>
      <x:c r="E558" s="7" t="n">
        <x:v>12000</x:v>
      </x:c>
      <x:c r="F558" s="7" t="n">
        <x:v>2</x:v>
      </x:c>
      <x:c r="G558" s="2" t="str">
        <x:v>기혼</x:v>
      </x:c>
      <x:c r="H558" s="7" t="n">
        <x:v>0</x:v>
      </x:c>
      <x:c r="I558" s="2" t="str">
        <x:f>IF(H558&lt;3,H558&amp;"명","3명 이상")</x:f>
        <x:v>0명</x:v>
      </x:c>
      <x:c r="J558" s="2" t="str">
        <x:v>흡연</x:v>
      </x:c>
      <x:c r="K558" s="2" t="str">
        <x:v>없음</x:v>
      </x:c>
      <x:c r="L558" s="2" t="str">
        <x:v>없음</x:v>
      </x:c>
      <x:c r="M558" s="2" t="str">
        <x:v>수호천사 간편심사(유병자)보험</x:v>
      </x:c>
      <x:c r="N558" s="2" t="str">
        <x:f>VLOOKUP(M558,'분류기준'!$A$5:$B$8,2,FALSE)</x:f>
        <x:v>간편심사보험</x:v>
      </x:c>
      <x:c r="O558" s="2" t="str">
        <x:v>중증질환 산정특례 보장 특약</x:v>
      </x:c>
      <x:c r="P558" s="2" t="str">
        <x:f>IF(O558="선택 안함","선택 안함",IF(O558="특약 없음","특약 없음","가입"))</x:f>
        <x:v>가입</x:v>
      </x:c>
      <x:c r="Q558" s="2" t="str">
        <x:f>IF(P558="가입","가입","미가입")</x:f>
        <x:v>가입</x:v>
      </x:c>
    </x:row>
    <x:row r="559" ht="23" customHeight="1">
      <x:c r="A559" s="2" t="str">
        <x:v>C0516</x:v>
      </x:c>
      <x:c r="B559" s="7" t="n">
        <x:v>45</x:v>
      </x:c>
      <x:c r="C559" s="2" t="str">
        <x:f>INT(B559/10)*10&amp;"대"</x:f>
        <x:v>40대</x:v>
      </x:c>
      <x:c r="D559" s="2" t="str">
        <x:v>남성</x:v>
      </x:c>
      <x:c r="E559" s="7" t="n">
        <x:v>5000</x:v>
      </x:c>
      <x:c r="F559" s="7" t="n">
        <x:v>3</x:v>
      </x:c>
      <x:c r="G559" s="2" t="str">
        <x:v>미혼</x:v>
      </x:c>
      <x:c r="H559" s="7" t="n">
        <x:v>0</x:v>
      </x:c>
      <x:c r="I559" s="2" t="str">
        <x:f>IF(H559&lt;3,H559&amp;"명","3명 이상")</x:f>
        <x:v>0명</x:v>
      </x:c>
      <x:c r="J559" s="2" t="str">
        <x:v>흡연</x:v>
      </x:c>
      <x:c r="K559" s="2" t="str">
        <x:v>고혈압</x:v>
      </x:c>
      <x:c r="L559" s="2" t="str">
        <x:v>심혈관</x:v>
      </x:c>
      <x:c r="M559" s="2" t="str">
        <x:v>수호천사 간편심사(유병자)보험</x:v>
      </x:c>
      <x:c r="N559" s="2" t="str">
        <x:f>VLOOKUP(M559,'분류기준'!$A$5:$B$8,2,FALSE)</x:f>
        <x:v>간편심사보험</x:v>
      </x:c>
      <x:c r="O559" s="2" t="str">
        <x:v>중증질환 산정특례 보장 특약</x:v>
      </x:c>
      <x:c r="P559" s="2" t="str">
        <x:f>IF(O559="선택 안함","선택 안함",IF(O559="특약 없음","특약 없음","가입"))</x:f>
        <x:v>가입</x:v>
      </x:c>
      <x:c r="Q559" s="2" t="str">
        <x:f>IF(P559="가입","가입","미가입")</x:f>
        <x:v>가입</x:v>
      </x:c>
    </x:row>
    <x:row r="560" ht="23" customHeight="1">
      <x:c r="A560" s="2" t="str">
        <x:v>C0624</x:v>
      </x:c>
      <x:c r="B560" s="7" t="n">
        <x:v>45</x:v>
      </x:c>
      <x:c r="C560" s="2" t="str">
        <x:f>INT(B560/10)*10&amp;"대"</x:f>
        <x:v>40대</x:v>
      </x:c>
      <x:c r="D560" s="2" t="str">
        <x:v>여성</x:v>
      </x:c>
      <x:c r="E560" s="7" t="n">
        <x:v>5000</x:v>
      </x:c>
      <x:c r="F560" s="7" t="n">
        <x:v>1</x:v>
      </x:c>
      <x:c r="G560" s="2" t="str">
        <x:v>기혼</x:v>
      </x:c>
      <x:c r="H560" s="7" t="n">
        <x:v>2</x:v>
      </x:c>
      <x:c r="I560" s="2" t="str">
        <x:f>IF(H560&lt;3,H560&amp;"명","3명 이상")</x:f>
        <x:v>2명</x:v>
      </x:c>
      <x:c r="J560" s="2" t="str">
        <x:v>비흡연</x:v>
      </x:c>
      <x:c r="K560" s="2" t="str">
        <x:v>없음</x:v>
      </x:c>
      <x:c r="L560" s="2" t="str">
        <x:v>없음</x:v>
      </x:c>
      <x:c r="M560" s="2" t="str">
        <x:v>수호천사 암/건강보험</x:v>
      </x:c>
      <x:c r="N560" s="2" t="str">
        <x:f>VLOOKUP(M560,'분류기준'!$A$5:$B$8,2,FALSE)</x:f>
        <x:v>암/건강보험</x:v>
      </x:c>
      <x:c r="O560" s="2" t="str">
        <x:v>표적항암약물허가치료 특약</x:v>
      </x:c>
      <x:c r="P560" s="2" t="str">
        <x:f>IF(O560="선택 안함","선택 안함",IF(O560="특약 없음","특약 없음","가입"))</x:f>
        <x:v>가입</x:v>
      </x:c>
      <x:c r="Q560" s="2" t="str">
        <x:f>IF(P560="가입","가입","미가입")</x:f>
        <x:v>가입</x:v>
      </x:c>
    </x:row>
    <x:row r="561" ht="23" customHeight="1">
      <x:c r="A561" s="2" t="str">
        <x:v>C0679</x:v>
      </x:c>
      <x:c r="B561" s="7" t="n">
        <x:v>45</x:v>
      </x:c>
      <x:c r="C561" s="2" t="str">
        <x:f>INT(B561/10)*10&amp;"대"</x:f>
        <x:v>40대</x:v>
      </x:c>
      <x:c r="D561" s="2" t="str">
        <x:v>남성</x:v>
      </x:c>
      <x:c r="E561" s="7" t="n">
        <x:v>6000</x:v>
      </x:c>
      <x:c r="F561" s="7" t="n">
        <x:v>2</x:v>
      </x:c>
      <x:c r="G561" s="2" t="str">
        <x:v>기혼</x:v>
      </x:c>
      <x:c r="H561" s="7" t="n">
        <x:v>1</x:v>
      </x:c>
      <x:c r="I561" s="2" t="str">
        <x:f>IF(H561&lt;3,H561&amp;"명","3명 이상")</x:f>
        <x:v>1명</x:v>
      </x:c>
      <x:c r="J561" s="2" t="str">
        <x:v>흡연</x:v>
      </x:c>
      <x:c r="K561" s="2" t="str">
        <x:v>없음</x:v>
      </x:c>
      <x:c r="L561" s="2" t="str">
        <x:v>없음</x:v>
      </x:c>
      <x:c r="M561" s="2" t="str">
        <x:v>수호천사 우리가족 종신보험</x:v>
      </x:c>
      <x:c r="N561" s="2" t="str">
        <x:f>VLOOKUP(M561,'분류기준'!$A$5:$B$8,2,FALSE)</x:f>
        <x:v>종신보험</x:v>
      </x:c>
      <x:c r="O561" s="2" t="str">
        <x:v>선택 안함</x:v>
      </x:c>
      <x:c r="P561" s="2" t="str">
        <x:f>IF(O561="선택 안함","선택 안함",IF(O561="특약 없음","특약 없음","가입"))</x:f>
        <x:v>선택 안함</x:v>
      </x:c>
      <x:c r="Q561" s="2" t="str">
        <x:f>IF(P561="가입","가입","미가입")</x:f>
        <x:v>미가입</x:v>
      </x:c>
    </x:row>
    <x:row r="562" ht="23" customHeight="1">
      <x:c r="A562" s="2" t="str">
        <x:v>C0712</x:v>
      </x:c>
      <x:c r="B562" s="7" t="n">
        <x:v>45</x:v>
      </x:c>
      <x:c r="C562" s="2" t="str">
        <x:f>INT(B562/10)*10&amp;"대"</x:f>
        <x:v>40대</x:v>
      </x:c>
      <x:c r="D562" s="2" t="str">
        <x:v>남성</x:v>
      </x:c>
      <x:c r="E562" s="7" t="n">
        <x:v>3000</x:v>
      </x:c>
      <x:c r="F562" s="7" t="n">
        <x:v>1</x:v>
      </x:c>
      <x:c r="G562" s="2" t="str">
        <x:v>기혼</x:v>
      </x:c>
      <x:c r="H562" s="7" t="n">
        <x:v>2</x:v>
      </x:c>
      <x:c r="I562" s="2" t="str">
        <x:f>IF(H562&lt;3,H562&amp;"명","3명 이상")</x:f>
        <x:v>2명</x:v>
      </x:c>
      <x:c r="J562" s="2" t="str">
        <x:v>흡연</x:v>
      </x:c>
      <x:c r="K562" s="2" t="str">
        <x:v>고혈압</x:v>
      </x:c>
      <x:c r="L562" s="2" t="str">
        <x:v>암</x:v>
      </x:c>
      <x:c r="M562" s="2" t="str">
        <x:v>수호천사 간편심사(유병자)보험</x:v>
      </x:c>
      <x:c r="N562" s="2" t="str">
        <x:f>VLOOKUP(M562,'분류기준'!$A$5:$B$8,2,FALSE)</x:f>
        <x:v>간편심사보험</x:v>
      </x:c>
      <x:c r="O562" s="2" t="str">
        <x:v>중증질환 산정특례 보장 특약</x:v>
      </x:c>
      <x:c r="P562" s="2" t="str">
        <x:f>IF(O562="선택 안함","선택 안함",IF(O562="특약 없음","특약 없음","가입"))</x:f>
        <x:v>가입</x:v>
      </x:c>
      <x:c r="Q562" s="2" t="str">
        <x:f>IF(P562="가입","가입","미가입")</x:f>
        <x:v>가입</x:v>
      </x:c>
    </x:row>
    <x:row r="563" ht="23" customHeight="1">
      <x:c r="A563" s="2" t="str">
        <x:v>C0754</x:v>
      </x:c>
      <x:c r="B563" s="7" t="n">
        <x:v>45</x:v>
      </x:c>
      <x:c r="C563" s="2" t="str">
        <x:f>INT(B563/10)*10&amp;"대"</x:f>
        <x:v>40대</x:v>
      </x:c>
      <x:c r="D563" s="2" t="str">
        <x:v>여성</x:v>
      </x:c>
      <x:c r="E563" s="7" t="n">
        <x:v>6000</x:v>
      </x:c>
      <x:c r="F563" s="7" t="n">
        <x:v>3</x:v>
      </x:c>
      <x:c r="G563" s="2" t="str">
        <x:v>기혼</x:v>
      </x:c>
      <x:c r="H563" s="7" t="n">
        <x:v>0</x:v>
      </x:c>
      <x:c r="I563" s="2" t="str">
        <x:f>IF(H563&lt;3,H563&amp;"명","3명 이상")</x:f>
        <x:v>0명</x:v>
      </x:c>
      <x:c r="J563" s="2" t="str">
        <x:v>비흡연</x:v>
      </x:c>
      <x:c r="K563" s="2" t="str">
        <x:v>고혈압</x:v>
      </x:c>
      <x:c r="L563" s="2" t="str">
        <x:v>암</x:v>
      </x:c>
      <x:c r="M563" s="2" t="str">
        <x:v>수호천사 간편심사(유병자)보험</x:v>
      </x:c>
      <x:c r="N563" s="2" t="str">
        <x:f>VLOOKUP(M563,'분류기준'!$A$5:$B$8,2,FALSE)</x:f>
        <x:v>간편심사보험</x:v>
      </x:c>
      <x:c r="O563" s="2" t="str">
        <x:v>중증질환 산정특례 보장 특약</x:v>
      </x:c>
      <x:c r="P563" s="2" t="str">
        <x:f>IF(O563="선택 안함","선택 안함",IF(O563="특약 없음","특약 없음","가입"))</x:f>
        <x:v>가입</x:v>
      </x:c>
      <x:c r="Q563" s="2" t="str">
        <x:f>IF(P563="가입","가입","미가입")</x:f>
        <x:v>가입</x:v>
      </x:c>
    </x:row>
    <x:row r="564" ht="23" customHeight="1">
      <x:c r="A564" s="2" t="str">
        <x:v>C0834</x:v>
      </x:c>
      <x:c r="B564" s="7" t="n">
        <x:v>45</x:v>
      </x:c>
      <x:c r="C564" s="2" t="str">
        <x:f>INT(B564/10)*10&amp;"대"</x:f>
        <x:v>40대</x:v>
      </x:c>
      <x:c r="D564" s="2" t="str">
        <x:v>남성</x:v>
      </x:c>
      <x:c r="E564" s="7" t="n">
        <x:v>7500</x:v>
      </x:c>
      <x:c r="F564" s="7" t="n">
        <x:v>1</x:v>
      </x:c>
      <x:c r="G564" s="2" t="str">
        <x:v>기혼</x:v>
      </x:c>
      <x:c r="H564" s="7" t="n">
        <x:v>2</x:v>
      </x:c>
      <x:c r="I564" s="2" t="str">
        <x:f>IF(H564&lt;3,H564&amp;"명","3명 이상")</x:f>
        <x:v>2명</x:v>
      </x:c>
      <x:c r="J564" s="2" t="str">
        <x:v>흡연</x:v>
      </x:c>
      <x:c r="K564" s="2" t="str">
        <x:v>당뇨</x:v>
      </x:c>
      <x:c r="L564" s="2" t="str">
        <x:v>없음</x:v>
      </x:c>
      <x:c r="M564" s="2" t="str">
        <x:v>수호천사 간편심사(유병자)보험</x:v>
      </x:c>
      <x:c r="N564" s="2" t="str">
        <x:f>VLOOKUP(M564,'분류기준'!$A$5:$B$8,2,FALSE)</x:f>
        <x:v>간편심사보험</x:v>
      </x:c>
      <x:c r="O564" s="2" t="str">
        <x:v>중증질환 산정특례 보장 특약</x:v>
      </x:c>
      <x:c r="P564" s="2" t="str">
        <x:f>IF(O564="선택 안함","선택 안함",IF(O564="특약 없음","특약 없음","가입"))</x:f>
        <x:v>가입</x:v>
      </x:c>
      <x:c r="Q564" s="2" t="str">
        <x:f>IF(P564="가입","가입","미가입")</x:f>
        <x:v>가입</x:v>
      </x:c>
    </x:row>
    <x:row r="565" ht="23" customHeight="1">
      <x:c r="A565" s="2" t="str">
        <x:v>C0838</x:v>
      </x:c>
      <x:c r="B565" s="7" t="n">
        <x:v>45</x:v>
      </x:c>
      <x:c r="C565" s="2" t="str">
        <x:f>INT(B565/10)*10&amp;"대"</x:f>
        <x:v>40대</x:v>
      </x:c>
      <x:c r="D565" s="2" t="str">
        <x:v>여성</x:v>
      </x:c>
      <x:c r="E565" s="7" t="n">
        <x:v>4000</x:v>
      </x:c>
      <x:c r="F565" s="7" t="n">
        <x:v>1</x:v>
      </x:c>
      <x:c r="G565" s="2" t="str">
        <x:v>미혼</x:v>
      </x:c>
      <x:c r="H565" s="7" t="n">
        <x:v>0</x:v>
      </x:c>
      <x:c r="I565" s="2" t="str">
        <x:f>IF(H565&lt;3,H565&amp;"명","3명 이상")</x:f>
        <x:v>0명</x:v>
      </x:c>
      <x:c r="J565" s="2" t="str">
        <x:v>비흡연</x:v>
      </x:c>
      <x:c r="K565" s="2" t="str">
        <x:v>없음</x:v>
      </x:c>
      <x:c r="L565" s="2" t="str">
        <x:v>심혈관</x:v>
      </x:c>
      <x:c r="M565" s="2" t="str">
        <x:v>수호천사 행복 연금보험</x:v>
      </x:c>
      <x:c r="N565" s="2" t="str">
        <x:f>VLOOKUP(M565,'분류기준'!$A$5:$B$8,2,FALSE)</x:f>
        <x:v>연금보험</x:v>
      </x:c>
      <x:c r="O565" s="2" t="str">
        <x:v>특약 없음</x:v>
      </x:c>
      <x:c r="P565" s="2" t="str">
        <x:f>IF(O565="선택 안함","선택 안함",IF(O565="특약 없음","특약 없음","가입"))</x:f>
        <x:v>특약 없음</x:v>
      </x:c>
      <x:c r="Q565" s="2" t="str">
        <x:f>IF(P565="가입","가입","미가입")</x:f>
        <x:v>미가입</x:v>
      </x:c>
    </x:row>
    <x:row r="566" ht="23" customHeight="1">
      <x:c r="A566" s="2" t="str">
        <x:v>C0842</x:v>
      </x:c>
      <x:c r="B566" s="7" t="n">
        <x:v>45</x:v>
      </x:c>
      <x:c r="C566" s="2" t="str">
        <x:f>INT(B566/10)*10&amp;"대"</x:f>
        <x:v>40대</x:v>
      </x:c>
      <x:c r="D566" s="2" t="str">
        <x:v>여성</x:v>
      </x:c>
      <x:c r="E566" s="7" t="n">
        <x:v>6000</x:v>
      </x:c>
      <x:c r="F566" s="7" t="n">
        <x:v>1</x:v>
      </x:c>
      <x:c r="G566" s="2" t="str">
        <x:v>미혼</x:v>
      </x:c>
      <x:c r="H566" s="7" t="n">
        <x:v>0</x:v>
      </x:c>
      <x:c r="I566" s="2" t="str">
        <x:f>IF(H566&lt;3,H566&amp;"명","3명 이상")</x:f>
        <x:v>0명</x:v>
      </x:c>
      <x:c r="J566" s="2" t="str">
        <x:v>비흡연</x:v>
      </x:c>
      <x:c r="K566" s="2" t="str">
        <x:v>고혈압</x:v>
      </x:c>
      <x:c r="L566" s="2" t="str">
        <x:v>없음</x:v>
      </x:c>
      <x:c r="M566" s="2" t="str">
        <x:v>수호천사 우리가족 종신보험</x:v>
      </x:c>
      <x:c r="N566" s="2" t="str">
        <x:f>VLOOKUP(M566,'분류기준'!$A$5:$B$8,2,FALSE)</x:f>
        <x:v>종신보험</x:v>
      </x:c>
      <x:c r="O566" s="2" t="str">
        <x:v>가족 수입 보장 특약</x:v>
      </x:c>
      <x:c r="P566" s="2" t="str">
        <x:f>IF(O566="선택 안함","선택 안함",IF(O566="특약 없음","특약 없음","가입"))</x:f>
        <x:v>가입</x:v>
      </x:c>
      <x:c r="Q566" s="2" t="str">
        <x:f>IF(P566="가입","가입","미가입")</x:f>
        <x:v>가입</x:v>
      </x:c>
    </x:row>
    <x:row r="567" ht="23" customHeight="1">
      <x:c r="A567" s="2" t="str">
        <x:v>C0847</x:v>
      </x:c>
      <x:c r="B567" s="7" t="n">
        <x:v>45</x:v>
      </x:c>
      <x:c r="C567" s="2" t="str">
        <x:f>INT(B567/10)*10&amp;"대"</x:f>
        <x:v>40대</x:v>
      </x:c>
      <x:c r="D567" s="2" t="str">
        <x:v>남성</x:v>
      </x:c>
      <x:c r="E567" s="7" t="n">
        <x:v>3000</x:v>
      </x:c>
      <x:c r="F567" s="7" t="n">
        <x:v>1</x:v>
      </x:c>
      <x:c r="G567" s="2" t="str">
        <x:v>기혼</x:v>
      </x:c>
      <x:c r="H567" s="7" t="n">
        <x:v>1</x:v>
      </x:c>
      <x:c r="I567" s="2" t="str">
        <x:f>IF(H567&lt;3,H567&amp;"명","3명 이상")</x:f>
        <x:v>1명</x:v>
      </x:c>
      <x:c r="J567" s="2" t="str">
        <x:v>비흡연</x:v>
      </x:c>
      <x:c r="K567" s="2" t="str">
        <x:v>없음</x:v>
      </x:c>
      <x:c r="L567" s="2" t="str">
        <x:v>없음</x:v>
      </x:c>
      <x:c r="M567" s="2" t="str">
        <x:v>수호천사 행복 연금보험</x:v>
      </x:c>
      <x:c r="N567" s="2" t="str">
        <x:f>VLOOKUP(M567,'분류기준'!$A$5:$B$8,2,FALSE)</x:f>
        <x:v>연금보험</x:v>
      </x:c>
      <x:c r="O567" s="2" t="str">
        <x:v>특약 없음</x:v>
      </x:c>
      <x:c r="P567" s="2" t="str">
        <x:f>IF(O567="선택 안함","선택 안함",IF(O567="특약 없음","특약 없음","가입"))</x:f>
        <x:v>특약 없음</x:v>
      </x:c>
      <x:c r="Q567" s="2" t="str">
        <x:f>IF(P567="가입","가입","미가입")</x:f>
        <x:v>미가입</x:v>
      </x:c>
    </x:row>
    <x:row r="568" ht="23" customHeight="1">
      <x:c r="A568" s="2" t="str">
        <x:v>C0855</x:v>
      </x:c>
      <x:c r="B568" s="7" t="n">
        <x:v>45</x:v>
      </x:c>
      <x:c r="C568" s="2" t="str">
        <x:f>INT(B568/10)*10&amp;"대"</x:f>
        <x:v>40대</x:v>
      </x:c>
      <x:c r="D568" s="2" t="str">
        <x:v>남성</x:v>
      </x:c>
      <x:c r="E568" s="7" t="n">
        <x:v>4000</x:v>
      </x:c>
      <x:c r="F568" s="7" t="n">
        <x:v>1</x:v>
      </x:c>
      <x:c r="G568" s="2" t="str">
        <x:v>기혼</x:v>
      </x:c>
      <x:c r="H568" s="7" t="n">
        <x:v>1</x:v>
      </x:c>
      <x:c r="I568" s="2" t="str">
        <x:f>IF(H568&lt;3,H568&amp;"명","3명 이상")</x:f>
        <x:v>1명</x:v>
      </x:c>
      <x:c r="J568" s="2" t="str">
        <x:v>비흡연</x:v>
      </x:c>
      <x:c r="K568" s="2" t="str">
        <x:v>없음</x:v>
      </x:c>
      <x:c r="L568" s="2" t="str">
        <x:v>암</x:v>
      </x:c>
      <x:c r="M568" s="2" t="str">
        <x:v>수호천사 암/건강보험</x:v>
      </x:c>
      <x:c r="N568" s="2" t="str">
        <x:f>VLOOKUP(M568,'분류기준'!$A$5:$B$8,2,FALSE)</x:f>
        <x:v>암/건강보험</x:v>
      </x:c>
      <x:c r="O568" s="2" t="str">
        <x:v>표적항암약물허가치료 특약</x:v>
      </x:c>
      <x:c r="P568" s="2" t="str">
        <x:f>IF(O568="선택 안함","선택 안함",IF(O568="특약 없음","특약 없음","가입"))</x:f>
        <x:v>가입</x:v>
      </x:c>
      <x:c r="Q568" s="2" t="str">
        <x:f>IF(P568="가입","가입","미가입")</x:f>
        <x:v>가입</x:v>
      </x:c>
    </x:row>
    <x:row r="569" ht="23" customHeight="1">
      <x:c r="A569" s="2" t="str">
        <x:v>C0862</x:v>
      </x:c>
      <x:c r="B569" s="7" t="n">
        <x:v>45</x:v>
      </x:c>
      <x:c r="C569" s="2" t="str">
        <x:f>INT(B569/10)*10&amp;"대"</x:f>
        <x:v>40대</x:v>
      </x:c>
      <x:c r="D569" s="2" t="str">
        <x:v>남성</x:v>
      </x:c>
      <x:c r="E569" s="7" t="n">
        <x:v>7500</x:v>
      </x:c>
      <x:c r="F569" s="7" t="n">
        <x:v>1</x:v>
      </x:c>
      <x:c r="G569" s="2" t="str">
        <x:v>기혼</x:v>
      </x:c>
      <x:c r="H569" s="7" t="n">
        <x:v>2</x:v>
      </x:c>
      <x:c r="I569" s="2" t="str">
        <x:f>IF(H569&lt;3,H569&amp;"명","3명 이상")</x:f>
        <x:v>2명</x:v>
      </x:c>
      <x:c r="J569" s="2" t="str">
        <x:v>비흡연</x:v>
      </x:c>
      <x:c r="K569" s="2" t="str">
        <x:v>없음</x:v>
      </x:c>
      <x:c r="L569" s="2" t="str">
        <x:v>없음</x:v>
      </x:c>
      <x:c r="M569" s="2" t="str">
        <x:v>수호천사 우리가족 종신보험</x:v>
      </x:c>
      <x:c r="N569" s="2" t="str">
        <x:f>VLOOKUP(M569,'분류기준'!$A$5:$B$8,2,FALSE)</x:f>
        <x:v>종신보험</x:v>
      </x:c>
      <x:c r="O569" s="2" t="str">
        <x:v>선택 안함</x:v>
      </x:c>
      <x:c r="P569" s="2" t="str">
        <x:f>IF(O569="선택 안함","선택 안함",IF(O569="특약 없음","특약 없음","가입"))</x:f>
        <x:v>선택 안함</x:v>
      </x:c>
      <x:c r="Q569" s="2" t="str">
        <x:f>IF(P569="가입","가입","미가입")</x:f>
        <x:v>미가입</x:v>
      </x:c>
    </x:row>
    <x:row r="570" ht="23" customHeight="1">
      <x:c r="A570" s="2" t="str">
        <x:v>C0882</x:v>
      </x:c>
      <x:c r="B570" s="7" t="n">
        <x:v>45</x:v>
      </x:c>
      <x:c r="C570" s="2" t="str">
        <x:f>INT(B570/10)*10&amp;"대"</x:f>
        <x:v>40대</x:v>
      </x:c>
      <x:c r="D570" s="2" t="str">
        <x:v>남성</x:v>
      </x:c>
      <x:c r="E570" s="7" t="n">
        <x:v>3000</x:v>
      </x:c>
      <x:c r="F570" s="7" t="n">
        <x:v>1</x:v>
      </x:c>
      <x:c r="G570" s="2" t="str">
        <x:v>미혼</x:v>
      </x:c>
      <x:c r="H570" s="7" t="n">
        <x:v>0</x:v>
      </x:c>
      <x:c r="I570" s="2" t="str">
        <x:f>IF(H570&lt;3,H570&amp;"명","3명 이상")</x:f>
        <x:v>0명</x:v>
      </x:c>
      <x:c r="J570" s="2" t="str">
        <x:v>비흡연</x:v>
      </x:c>
      <x:c r="K570" s="2" t="str">
        <x:v>없음</x:v>
      </x:c>
      <x:c r="L570" s="2" t="str">
        <x:v>없음</x:v>
      </x:c>
      <x:c r="M570" s="2" t="str">
        <x:v>수호천사 암/건강보험</x:v>
      </x:c>
      <x:c r="N570" s="2" t="str">
        <x:f>VLOOKUP(M570,'분류기준'!$A$5:$B$8,2,FALSE)</x:f>
        <x:v>암/건강보험</x:v>
      </x:c>
      <x:c r="O570" s="2" t="str">
        <x:v>표적항암약물허가치료 특약</x:v>
      </x:c>
      <x:c r="P570" s="2" t="str">
        <x:f>IF(O570="선택 안함","선택 안함",IF(O570="특약 없음","특약 없음","가입"))</x:f>
        <x:v>가입</x:v>
      </x:c>
      <x:c r="Q570" s="2" t="str">
        <x:f>IF(P570="가입","가입","미가입")</x:f>
        <x:v>가입</x:v>
      </x:c>
    </x:row>
    <x:row r="571" ht="23" customHeight="1">
      <x:c r="A571" s="2" t="str">
        <x:v>C0906</x:v>
      </x:c>
      <x:c r="B571" s="7" t="n">
        <x:v>45</x:v>
      </x:c>
      <x:c r="C571" s="2" t="str">
        <x:f>INT(B571/10)*10&amp;"대"</x:f>
        <x:v>40대</x:v>
      </x:c>
      <x:c r="D571" s="2" t="str">
        <x:v>남성</x:v>
      </x:c>
      <x:c r="E571" s="7" t="n">
        <x:v>5000</x:v>
      </x:c>
      <x:c r="F571" s="7" t="n">
        <x:v>1</x:v>
      </x:c>
      <x:c r="G571" s="2" t="str">
        <x:v>기혼</x:v>
      </x:c>
      <x:c r="H571" s="7" t="n">
        <x:v>1</x:v>
      </x:c>
      <x:c r="I571" s="2" t="str">
        <x:f>IF(H571&lt;3,H571&amp;"명","3명 이상")</x:f>
        <x:v>1명</x:v>
      </x:c>
      <x:c r="J571" s="2" t="str">
        <x:v>흡연</x:v>
      </x:c>
      <x:c r="K571" s="2" t="str">
        <x:v>고혈압</x:v>
      </x:c>
      <x:c r="L571" s="2" t="str">
        <x:v>없음</x:v>
      </x:c>
      <x:c r="M571" s="2" t="str">
        <x:v>수호천사 암/건강보험</x:v>
      </x:c>
      <x:c r="N571" s="2" t="str">
        <x:f>VLOOKUP(M571,'분류기준'!$A$5:$B$8,2,FALSE)</x:f>
        <x:v>암/건강보험</x:v>
      </x:c>
      <x:c r="O571" s="2" t="str">
        <x:v>수술비 보장 특약</x:v>
      </x:c>
      <x:c r="P571" s="2" t="str">
        <x:f>IF(O571="선택 안함","선택 안함",IF(O571="특약 없음","특약 없음","가입"))</x:f>
        <x:v>가입</x:v>
      </x:c>
      <x:c r="Q571" s="2" t="str">
        <x:f>IF(P571="가입","가입","미가입")</x:f>
        <x:v>가입</x:v>
      </x:c>
    </x:row>
    <x:row r="572" ht="23" customHeight="1">
      <x:c r="A572" s="2" t="str">
        <x:v>C0944</x:v>
      </x:c>
      <x:c r="B572" s="7" t="n">
        <x:v>45</x:v>
      </x:c>
      <x:c r="C572" s="2" t="str">
        <x:f>INT(B572/10)*10&amp;"대"</x:f>
        <x:v>40대</x:v>
      </x:c>
      <x:c r="D572" s="2" t="str">
        <x:v>여성</x:v>
      </x:c>
      <x:c r="E572" s="7" t="n">
        <x:v>9000</x:v>
      </x:c>
      <x:c r="F572" s="7" t="n">
        <x:v>3</x:v>
      </x:c>
      <x:c r="G572" s="2" t="str">
        <x:v>미혼</x:v>
      </x:c>
      <x:c r="H572" s="7" t="n">
        <x:v>0</x:v>
      </x:c>
      <x:c r="I572" s="2" t="str">
        <x:f>IF(H572&lt;3,H572&amp;"명","3명 이상")</x:f>
        <x:v>0명</x:v>
      </x:c>
      <x:c r="J572" s="2" t="str">
        <x:v>비흡연</x:v>
      </x:c>
      <x:c r="K572" s="2" t="str">
        <x:v>없음</x:v>
      </x:c>
      <x:c r="L572" s="2" t="str">
        <x:v>없음</x:v>
      </x:c>
      <x:c r="M572" s="2" t="str">
        <x:v>수호천사 행복 연금보험</x:v>
      </x:c>
      <x:c r="N572" s="2" t="str">
        <x:f>VLOOKUP(M572,'분류기준'!$A$5:$B$8,2,FALSE)</x:f>
        <x:v>연금보험</x:v>
      </x:c>
      <x:c r="O572" s="2" t="str">
        <x:v>특약 없음</x:v>
      </x:c>
      <x:c r="P572" s="2" t="str">
        <x:f>IF(O572="선택 안함","선택 안함",IF(O572="특약 없음","특약 없음","가입"))</x:f>
        <x:v>특약 없음</x:v>
      </x:c>
      <x:c r="Q572" s="2" t="str">
        <x:f>IF(P572="가입","가입","미가입")</x:f>
        <x:v>미가입</x:v>
      </x:c>
    </x:row>
    <x:row r="573" ht="23" customHeight="1">
      <x:c r="A573" s="2" t="str">
        <x:v>C0949</x:v>
      </x:c>
      <x:c r="B573" s="7" t="n">
        <x:v>45</x:v>
      </x:c>
      <x:c r="C573" s="2" t="str">
        <x:f>INT(B573/10)*10&amp;"대"</x:f>
        <x:v>40대</x:v>
      </x:c>
      <x:c r="D573" s="2" t="str">
        <x:v>여성</x:v>
      </x:c>
      <x:c r="E573" s="7" t="n">
        <x:v>6000</x:v>
      </x:c>
      <x:c r="F573" s="7" t="n">
        <x:v>1</x:v>
      </x:c>
      <x:c r="G573" s="2" t="str">
        <x:v>기혼</x:v>
      </x:c>
      <x:c r="H573" s="7" t="n">
        <x:v>1</x:v>
      </x:c>
      <x:c r="I573" s="2" t="str">
        <x:f>IF(H573&lt;3,H573&amp;"명","3명 이상")</x:f>
        <x:v>1명</x:v>
      </x:c>
      <x:c r="J573" s="2" t="str">
        <x:v>비흡연</x:v>
      </x:c>
      <x:c r="K573" s="2" t="str">
        <x:v>없음</x:v>
      </x:c>
      <x:c r="L573" s="2" t="str">
        <x:v>심혈관</x:v>
      </x:c>
      <x:c r="M573" s="2" t="str">
        <x:v>수호천사 암/건강보험</x:v>
      </x:c>
      <x:c r="N573" s="2" t="str">
        <x:f>VLOOKUP(M573,'분류기준'!$A$5:$B$8,2,FALSE)</x:f>
        <x:v>암/건강보험</x:v>
      </x:c>
      <x:c r="O573" s="2" t="str">
        <x:v>표적항암약물허가치료 특약</x:v>
      </x:c>
      <x:c r="P573" s="2" t="str">
        <x:f>IF(O573="선택 안함","선택 안함",IF(O573="특약 없음","특약 없음","가입"))</x:f>
        <x:v>가입</x:v>
      </x:c>
      <x:c r="Q573" s="2" t="str">
        <x:f>IF(P573="가입","가입","미가입")</x:f>
        <x:v>가입</x:v>
      </x:c>
    </x:row>
    <x:row r="574" ht="23" customHeight="1">
      <x:c r="A574" s="2" t="str">
        <x:v>C0957</x:v>
      </x:c>
      <x:c r="B574" s="7" t="n">
        <x:v>45</x:v>
      </x:c>
      <x:c r="C574" s="2" t="str">
        <x:f>INT(B574/10)*10&amp;"대"</x:f>
        <x:v>40대</x:v>
      </x:c>
      <x:c r="D574" s="2" t="str">
        <x:v>남성</x:v>
      </x:c>
      <x:c r="E574" s="7" t="n">
        <x:v>5000</x:v>
      </x:c>
      <x:c r="F574" s="7" t="n">
        <x:v>1</x:v>
      </x:c>
      <x:c r="G574" s="2" t="str">
        <x:v>기혼</x:v>
      </x:c>
      <x:c r="H574" s="7" t="n">
        <x:v>2</x:v>
      </x:c>
      <x:c r="I574" s="2" t="str">
        <x:f>IF(H574&lt;3,H574&amp;"명","3명 이상")</x:f>
        <x:v>2명</x:v>
      </x:c>
      <x:c r="J574" s="2" t="str">
        <x:v>비흡연</x:v>
      </x:c>
      <x:c r="K574" s="2" t="str">
        <x:v>없음</x:v>
      </x:c>
      <x:c r="L574" s="2" t="str">
        <x:v>없음</x:v>
      </x:c>
      <x:c r="M574" s="2" t="str">
        <x:v>수호천사 우리가족 종신보험</x:v>
      </x:c>
      <x:c r="N574" s="2" t="str">
        <x:f>VLOOKUP(M574,'분류기준'!$A$5:$B$8,2,FALSE)</x:f>
        <x:v>종신보험</x:v>
      </x:c>
      <x:c r="O574" s="2" t="str">
        <x:v>가족 수입 보장 특약</x:v>
      </x:c>
      <x:c r="P574" s="2" t="str">
        <x:f>IF(O574="선택 안함","선택 안함",IF(O574="특약 없음","특약 없음","가입"))</x:f>
        <x:v>가입</x:v>
      </x:c>
      <x:c r="Q574" s="2" t="str">
        <x:f>IF(P574="가입","가입","미가입")</x:f>
        <x:v>가입</x:v>
      </x:c>
    </x:row>
    <x:row r="575" ht="23" customHeight="1">
      <x:c r="A575" s="2" t="str">
        <x:v>C0030</x:v>
      </x:c>
      <x:c r="B575" s="7" t="n">
        <x:v>46</x:v>
      </x:c>
      <x:c r="C575" s="2" t="str">
        <x:f>INT(B575/10)*10&amp;"대"</x:f>
        <x:v>40대</x:v>
      </x:c>
      <x:c r="D575" s="2" t="str">
        <x:v>여성</x:v>
      </x:c>
      <x:c r="E575" s="7" t="n">
        <x:v>7500</x:v>
      </x:c>
      <x:c r="F575" s="7" t="n">
        <x:v>2</x:v>
      </x:c>
      <x:c r="G575" s="2" t="str">
        <x:v>기혼</x:v>
      </x:c>
      <x:c r="H575" s="7" t="n">
        <x:v>0</x:v>
      </x:c>
      <x:c r="I575" s="2" t="str">
        <x:f>IF(H575&lt;3,H575&amp;"명","3명 이상")</x:f>
        <x:v>0명</x:v>
      </x:c>
      <x:c r="J575" s="2" t="str">
        <x:v>비흡연</x:v>
      </x:c>
      <x:c r="K575" s="2" t="str">
        <x:v>고혈압</x:v>
      </x:c>
      <x:c r="L575" s="2" t="str">
        <x:v>심혈관</x:v>
      </x:c>
      <x:c r="M575" s="2" t="str">
        <x:v>수호천사 암/건강보험</x:v>
      </x:c>
      <x:c r="N575" s="2" t="str">
        <x:f>VLOOKUP(M575,'분류기준'!$A$5:$B$8,2,FALSE)</x:f>
        <x:v>암/건강보험</x:v>
      </x:c>
      <x:c r="O575" s="2" t="str">
        <x:v>표적항암약물허가치료 특약</x:v>
      </x:c>
      <x:c r="P575" s="2" t="str">
        <x:f>IF(O575="선택 안함","선택 안함",IF(O575="특약 없음","특약 없음","가입"))</x:f>
        <x:v>가입</x:v>
      </x:c>
      <x:c r="Q575" s="2" t="str">
        <x:f>IF(P575="가입","가입","미가입")</x:f>
        <x:v>가입</x:v>
      </x:c>
    </x:row>
    <x:row r="576" ht="23" customHeight="1">
      <x:c r="A576" s="2" t="str">
        <x:v>C0123</x:v>
      </x:c>
      <x:c r="B576" s="7" t="n">
        <x:v>46</x:v>
      </x:c>
      <x:c r="C576" s="2" t="str">
        <x:f>INT(B576/10)*10&amp;"대"</x:f>
        <x:v>40대</x:v>
      </x:c>
      <x:c r="D576" s="2" t="str">
        <x:v>여성</x:v>
      </x:c>
      <x:c r="E576" s="7" t="n">
        <x:v>9000</x:v>
      </x:c>
      <x:c r="F576" s="7" t="n">
        <x:v>1</x:v>
      </x:c>
      <x:c r="G576" s="2" t="str">
        <x:v>기혼</x:v>
      </x:c>
      <x:c r="H576" s="7" t="n">
        <x:v>0</x:v>
      </x:c>
      <x:c r="I576" s="2" t="str">
        <x:f>IF(H576&lt;3,H576&amp;"명","3명 이상")</x:f>
        <x:v>0명</x:v>
      </x:c>
      <x:c r="J576" s="2" t="str">
        <x:v>비흡연</x:v>
      </x:c>
      <x:c r="K576" s="2" t="str">
        <x:v>없음</x:v>
      </x:c>
      <x:c r="L576" s="2" t="str">
        <x:v>없음</x:v>
      </x:c>
      <x:c r="M576" s="2" t="str">
        <x:v>수호천사 암/건강보험</x:v>
      </x:c>
      <x:c r="N576" s="2" t="str">
        <x:f>VLOOKUP(M576,'분류기준'!$A$5:$B$8,2,FALSE)</x:f>
        <x:v>암/건강보험</x:v>
      </x:c>
      <x:c r="O576" s="2" t="str">
        <x:v>표적항암약물허가치료 특약</x:v>
      </x:c>
      <x:c r="P576" s="2" t="str">
        <x:f>IF(O576="선택 안함","선택 안함",IF(O576="특약 없음","특약 없음","가입"))</x:f>
        <x:v>가입</x:v>
      </x:c>
      <x:c r="Q576" s="2" t="str">
        <x:f>IF(P576="가입","가입","미가입")</x:f>
        <x:v>가입</x:v>
      </x:c>
    </x:row>
    <x:row r="577" ht="23" customHeight="1">
      <x:c r="A577" s="2" t="str">
        <x:v>C0135</x:v>
      </x:c>
      <x:c r="B577" s="7" t="n">
        <x:v>46</x:v>
      </x:c>
      <x:c r="C577" s="2" t="str">
        <x:f>INT(B577/10)*10&amp;"대"</x:f>
        <x:v>40대</x:v>
      </x:c>
      <x:c r="D577" s="2" t="str">
        <x:v>여성</x:v>
      </x:c>
      <x:c r="E577" s="7" t="n">
        <x:v>12000</x:v>
      </x:c>
      <x:c r="F577" s="7" t="n">
        <x:v>1</x:v>
      </x:c>
      <x:c r="G577" s="2" t="str">
        <x:v>미혼</x:v>
      </x:c>
      <x:c r="H577" s="7" t="n">
        <x:v>0</x:v>
      </x:c>
      <x:c r="I577" s="2" t="str">
        <x:f>IF(H577&lt;3,H577&amp;"명","3명 이상")</x:f>
        <x:v>0명</x:v>
      </x:c>
      <x:c r="J577" s="2" t="str">
        <x:v>비흡연</x:v>
      </x:c>
      <x:c r="K577" s="2" t="str">
        <x:v>고혈압</x:v>
      </x:c>
      <x:c r="L577" s="2" t="str">
        <x:v>암</x:v>
      </x:c>
      <x:c r="M577" s="2" t="str">
        <x:v>수호천사 간편심사(유병자)보험</x:v>
      </x:c>
      <x:c r="N577" s="2" t="str">
        <x:f>VLOOKUP(M577,'분류기준'!$A$5:$B$8,2,FALSE)</x:f>
        <x:v>간편심사보험</x:v>
      </x:c>
      <x:c r="O577" s="2" t="str">
        <x:v>중증질환 산정특례 보장 특약</x:v>
      </x:c>
      <x:c r="P577" s="2" t="str">
        <x:f>IF(O577="선택 안함","선택 안함",IF(O577="특약 없음","특약 없음","가입"))</x:f>
        <x:v>가입</x:v>
      </x:c>
      <x:c r="Q577" s="2" t="str">
        <x:f>IF(P577="가입","가입","미가입")</x:f>
        <x:v>가입</x:v>
      </x:c>
    </x:row>
    <x:row r="578" ht="23" customHeight="1">
      <x:c r="A578" s="2" t="str">
        <x:v>C0176</x:v>
      </x:c>
      <x:c r="B578" s="7" t="n">
        <x:v>46</x:v>
      </x:c>
      <x:c r="C578" s="2" t="str">
        <x:f>INT(B578/10)*10&amp;"대"</x:f>
        <x:v>40대</x:v>
      </x:c>
      <x:c r="D578" s="2" t="str">
        <x:v>여성</x:v>
      </x:c>
      <x:c r="E578" s="7" t="n">
        <x:v>4000</x:v>
      </x:c>
      <x:c r="F578" s="7" t="n">
        <x:v>3</x:v>
      </x:c>
      <x:c r="G578" s="2" t="str">
        <x:v>기혼</x:v>
      </x:c>
      <x:c r="H578" s="7" t="n">
        <x:v>2</x:v>
      </x:c>
      <x:c r="I578" s="2" t="str">
        <x:f>IF(H578&lt;3,H578&amp;"명","3명 이상")</x:f>
        <x:v>2명</x:v>
      </x:c>
      <x:c r="J578" s="2" t="str">
        <x:v>비흡연</x:v>
      </x:c>
      <x:c r="K578" s="2" t="str">
        <x:v>없음</x:v>
      </x:c>
      <x:c r="L578" s="2" t="str">
        <x:v>암</x:v>
      </x:c>
      <x:c r="M578" s="2" t="str">
        <x:v>수호천사 우리가족 종신보험</x:v>
      </x:c>
      <x:c r="N578" s="2" t="str">
        <x:f>VLOOKUP(M578,'분류기준'!$A$5:$B$8,2,FALSE)</x:f>
        <x:v>종신보험</x:v>
      </x:c>
      <x:c r="O578" s="2" t="str">
        <x:v>가족 수입 보장 특약</x:v>
      </x:c>
      <x:c r="P578" s="2" t="str">
        <x:f>IF(O578="선택 안함","선택 안함",IF(O578="특약 없음","특약 없음","가입"))</x:f>
        <x:v>가입</x:v>
      </x:c>
      <x:c r="Q578" s="2" t="str">
        <x:f>IF(P578="가입","가입","미가입")</x:f>
        <x:v>가입</x:v>
      </x:c>
    </x:row>
    <x:row r="579" ht="23" customHeight="1">
      <x:c r="A579" s="2" t="str">
        <x:v>C0183</x:v>
      </x:c>
      <x:c r="B579" s="7" t="n">
        <x:v>46</x:v>
      </x:c>
      <x:c r="C579" s="2" t="str">
        <x:f>INT(B579/10)*10&amp;"대"</x:f>
        <x:v>40대</x:v>
      </x:c>
      <x:c r="D579" s="2" t="str">
        <x:v>여성</x:v>
      </x:c>
      <x:c r="E579" s="7" t="n">
        <x:v>6000</x:v>
      </x:c>
      <x:c r="F579" s="7" t="n">
        <x:v>2</x:v>
      </x:c>
      <x:c r="G579" s="2" t="str">
        <x:v>기혼</x:v>
      </x:c>
      <x:c r="H579" s="7" t="n">
        <x:v>0</x:v>
      </x:c>
      <x:c r="I579" s="2" t="str">
        <x:f>IF(H579&lt;3,H579&amp;"명","3명 이상")</x:f>
        <x:v>0명</x:v>
      </x:c>
      <x:c r="J579" s="2" t="str">
        <x:v>비흡연</x:v>
      </x:c>
      <x:c r="K579" s="2" t="str">
        <x:v>고혈압</x:v>
      </x:c>
      <x:c r="L579" s="2" t="str">
        <x:v>없음</x:v>
      </x:c>
      <x:c r="M579" s="2" t="str">
        <x:v>수호천사 간편심사(유병자)보험</x:v>
      </x:c>
      <x:c r="N579" s="2" t="str">
        <x:f>VLOOKUP(M579,'분류기준'!$A$5:$B$8,2,FALSE)</x:f>
        <x:v>간편심사보험</x:v>
      </x:c>
      <x:c r="O579" s="2" t="str">
        <x:v>선택 안함</x:v>
      </x:c>
      <x:c r="P579" s="2" t="str">
        <x:f>IF(O579="선택 안함","선택 안함",IF(O579="특약 없음","특약 없음","가입"))</x:f>
        <x:v>선택 안함</x:v>
      </x:c>
      <x:c r="Q579" s="2" t="str">
        <x:f>IF(P579="가입","가입","미가입")</x:f>
        <x:v>미가입</x:v>
      </x:c>
    </x:row>
    <x:row r="580" ht="23" customHeight="1">
      <x:c r="A580" s="2" t="str">
        <x:v>C0315</x:v>
      </x:c>
      <x:c r="B580" s="7" t="n">
        <x:v>46</x:v>
      </x:c>
      <x:c r="C580" s="2" t="str">
        <x:f>INT(B580/10)*10&amp;"대"</x:f>
        <x:v>40대</x:v>
      </x:c>
      <x:c r="D580" s="2" t="str">
        <x:v>남성</x:v>
      </x:c>
      <x:c r="E580" s="7" t="n">
        <x:v>6000</x:v>
      </x:c>
      <x:c r="F580" s="7" t="n">
        <x:v>1</x:v>
      </x:c>
      <x:c r="G580" s="2" t="str">
        <x:v>기혼</x:v>
      </x:c>
      <x:c r="H580" s="7" t="n">
        <x:v>1</x:v>
      </x:c>
      <x:c r="I580" s="2" t="str">
        <x:f>IF(H580&lt;3,H580&amp;"명","3명 이상")</x:f>
        <x:v>1명</x:v>
      </x:c>
      <x:c r="J580" s="2" t="str">
        <x:v>흡연</x:v>
      </x:c>
      <x:c r="K580" s="2" t="str">
        <x:v>없음</x:v>
      </x:c>
      <x:c r="L580" s="2" t="str">
        <x:v>없음</x:v>
      </x:c>
      <x:c r="M580" s="2" t="str">
        <x:v>수호천사 우리가족 종신보험</x:v>
      </x:c>
      <x:c r="N580" s="2" t="str">
        <x:f>VLOOKUP(M580,'분류기준'!$A$5:$B$8,2,FALSE)</x:f>
        <x:v>종신보험</x:v>
      </x:c>
      <x:c r="O580" s="2" t="str">
        <x:v>가족 수입 보장 특약</x:v>
      </x:c>
      <x:c r="P580" s="2" t="str">
        <x:f>IF(O580="선택 안함","선택 안함",IF(O580="특약 없음","특약 없음","가입"))</x:f>
        <x:v>가입</x:v>
      </x:c>
      <x:c r="Q580" s="2" t="str">
        <x:f>IF(P580="가입","가입","미가입")</x:f>
        <x:v>가입</x:v>
      </x:c>
    </x:row>
    <x:row r="581" ht="23" customHeight="1">
      <x:c r="A581" s="2" t="str">
        <x:v>C0316</x:v>
      </x:c>
      <x:c r="B581" s="7" t="n">
        <x:v>46</x:v>
      </x:c>
      <x:c r="C581" s="2" t="str">
        <x:f>INT(B581/10)*10&amp;"대"</x:f>
        <x:v>40대</x:v>
      </x:c>
      <x:c r="D581" s="2" t="str">
        <x:v>여성</x:v>
      </x:c>
      <x:c r="E581" s="7" t="n">
        <x:v>4000</x:v>
      </x:c>
      <x:c r="F581" s="7" t="n">
        <x:v>1</x:v>
      </x:c>
      <x:c r="G581" s="2" t="str">
        <x:v>기혼</x:v>
      </x:c>
      <x:c r="H581" s="7" t="n">
        <x:v>1</x:v>
      </x:c>
      <x:c r="I581" s="2" t="str">
        <x:f>IF(H581&lt;3,H581&amp;"명","3명 이상")</x:f>
        <x:v>1명</x:v>
      </x:c>
      <x:c r="J581" s="2" t="str">
        <x:v>비흡연</x:v>
      </x:c>
      <x:c r="K581" s="2" t="str">
        <x:v>없음</x:v>
      </x:c>
      <x:c r="L581" s="2" t="str">
        <x:v>없음</x:v>
      </x:c>
      <x:c r="M581" s="2" t="str">
        <x:v>수호천사 우리가족 종신보험</x:v>
      </x:c>
      <x:c r="N581" s="2" t="str">
        <x:f>VLOOKUP(M581,'분류기준'!$A$5:$B$8,2,FALSE)</x:f>
        <x:v>종신보험</x:v>
      </x:c>
      <x:c r="O581" s="2" t="str">
        <x:v>가족 수입 보장 특약</x:v>
      </x:c>
      <x:c r="P581" s="2" t="str">
        <x:f>IF(O581="선택 안함","선택 안함",IF(O581="특약 없음","특약 없음","가입"))</x:f>
        <x:v>가입</x:v>
      </x:c>
      <x:c r="Q581" s="2" t="str">
        <x:f>IF(P581="가입","가입","미가입")</x:f>
        <x:v>가입</x:v>
      </x:c>
    </x:row>
    <x:row r="582" ht="23" customHeight="1">
      <x:c r="A582" s="2" t="str">
        <x:v>C0360</x:v>
      </x:c>
      <x:c r="B582" s="7" t="n">
        <x:v>46</x:v>
      </x:c>
      <x:c r="C582" s="2" t="str">
        <x:f>INT(B582/10)*10&amp;"대"</x:f>
        <x:v>40대</x:v>
      </x:c>
      <x:c r="D582" s="2" t="str">
        <x:v>여성</x:v>
      </x:c>
      <x:c r="E582" s="7" t="n">
        <x:v>4000</x:v>
      </x:c>
      <x:c r="F582" s="7" t="n">
        <x:v>2</x:v>
      </x:c>
      <x:c r="G582" s="2" t="str">
        <x:v>기혼</x:v>
      </x:c>
      <x:c r="H582" s="7" t="n">
        <x:v>1</x:v>
      </x:c>
      <x:c r="I582" s="2" t="str">
        <x:f>IF(H582&lt;3,H582&amp;"명","3명 이상")</x:f>
        <x:v>1명</x:v>
      </x:c>
      <x:c r="J582" s="2" t="str">
        <x:v>비흡연</x:v>
      </x:c>
      <x:c r="K582" s="2" t="str">
        <x:v>없음</x:v>
      </x:c>
      <x:c r="L582" s="2" t="str">
        <x:v>심혈관</x:v>
      </x:c>
      <x:c r="M582" s="2" t="str">
        <x:v>수호천사 암/건강보험</x:v>
      </x:c>
      <x:c r="N582" s="2" t="str">
        <x:f>VLOOKUP(M582,'분류기준'!$A$5:$B$8,2,FALSE)</x:f>
        <x:v>암/건강보험</x:v>
      </x:c>
      <x:c r="O582" s="2" t="str">
        <x:v>표적항암약물허가치료 특약</x:v>
      </x:c>
      <x:c r="P582" s="2" t="str">
        <x:f>IF(O582="선택 안함","선택 안함",IF(O582="특약 없음","특약 없음","가입"))</x:f>
        <x:v>가입</x:v>
      </x:c>
      <x:c r="Q582" s="2" t="str">
        <x:f>IF(P582="가입","가입","미가입")</x:f>
        <x:v>가입</x:v>
      </x:c>
    </x:row>
    <x:row r="583" ht="23" customHeight="1">
      <x:c r="A583" s="2" t="str">
        <x:v>C0485</x:v>
      </x:c>
      <x:c r="B583" s="7" t="n">
        <x:v>46</x:v>
      </x:c>
      <x:c r="C583" s="2" t="str">
        <x:f>INT(B583/10)*10&amp;"대"</x:f>
        <x:v>40대</x:v>
      </x:c>
      <x:c r="D583" s="2" t="str">
        <x:v>남성</x:v>
      </x:c>
      <x:c r="E583" s="7" t="n">
        <x:v>6000</x:v>
      </x:c>
      <x:c r="F583" s="7" t="n">
        <x:v>1</x:v>
      </x:c>
      <x:c r="G583" s="2" t="str">
        <x:v>기혼</x:v>
      </x:c>
      <x:c r="H583" s="7" t="n">
        <x:v>0</x:v>
      </x:c>
      <x:c r="I583" s="2" t="str">
        <x:f>IF(H583&lt;3,H583&amp;"명","3명 이상")</x:f>
        <x:v>0명</x:v>
      </x:c>
      <x:c r="J583" s="2" t="str">
        <x:v>비흡연</x:v>
      </x:c>
      <x:c r="K583" s="2" t="str">
        <x:v>고혈압</x:v>
      </x:c>
      <x:c r="L583" s="2" t="str">
        <x:v>없음</x:v>
      </x:c>
      <x:c r="M583" s="2" t="str">
        <x:v>수호천사 간편심사(유병자)보험</x:v>
      </x:c>
      <x:c r="N583" s="2" t="str">
        <x:f>VLOOKUP(M583,'분류기준'!$A$5:$B$8,2,FALSE)</x:f>
        <x:v>간편심사보험</x:v>
      </x:c>
      <x:c r="O583" s="2" t="str">
        <x:v>중증질환 산정특례 보장 특약</x:v>
      </x:c>
      <x:c r="P583" s="2" t="str">
        <x:f>IF(O583="선택 안함","선택 안함",IF(O583="특약 없음","특약 없음","가입"))</x:f>
        <x:v>가입</x:v>
      </x:c>
      <x:c r="Q583" s="2" t="str">
        <x:f>IF(P583="가입","가입","미가입")</x:f>
        <x:v>가입</x:v>
      </x:c>
    </x:row>
    <x:row r="584" ht="23" customHeight="1">
      <x:c r="A584" s="2" t="str">
        <x:v>C0600</x:v>
      </x:c>
      <x:c r="B584" s="7" t="n">
        <x:v>46</x:v>
      </x:c>
      <x:c r="C584" s="2" t="str">
        <x:f>INT(B584/10)*10&amp;"대"</x:f>
        <x:v>40대</x:v>
      </x:c>
      <x:c r="D584" s="2" t="str">
        <x:v>여성</x:v>
      </x:c>
      <x:c r="E584" s="7" t="n">
        <x:v>6000</x:v>
      </x:c>
      <x:c r="F584" s="7" t="n">
        <x:v>1</x:v>
      </x:c>
      <x:c r="G584" s="2" t="str">
        <x:v>기혼</x:v>
      </x:c>
      <x:c r="H584" s="7" t="n">
        <x:v>2</x:v>
      </x:c>
      <x:c r="I584" s="2" t="str">
        <x:f>IF(H584&lt;3,H584&amp;"명","3명 이상")</x:f>
        <x:v>2명</x:v>
      </x:c>
      <x:c r="J584" s="2" t="str">
        <x:v>비흡연</x:v>
      </x:c>
      <x:c r="K584" s="2" t="str">
        <x:v>없음</x:v>
      </x:c>
      <x:c r="L584" s="2" t="str">
        <x:v>심혈관</x:v>
      </x:c>
      <x:c r="M584" s="2" t="str">
        <x:v>수호천사 암/건강보험</x:v>
      </x:c>
      <x:c r="N584" s="2" t="str">
        <x:f>VLOOKUP(M584,'분류기준'!$A$5:$B$8,2,FALSE)</x:f>
        <x:v>암/건강보험</x:v>
      </x:c>
      <x:c r="O584" s="2" t="str">
        <x:v>수술비 보장 특약</x:v>
      </x:c>
      <x:c r="P584" s="2" t="str">
        <x:f>IF(O584="선택 안함","선택 안함",IF(O584="특약 없음","특약 없음","가입"))</x:f>
        <x:v>가입</x:v>
      </x:c>
      <x:c r="Q584" s="2" t="str">
        <x:f>IF(P584="가입","가입","미가입")</x:f>
        <x:v>가입</x:v>
      </x:c>
    </x:row>
    <x:row r="585" ht="23" customHeight="1">
      <x:c r="A585" s="2" t="str">
        <x:v>C0622</x:v>
      </x:c>
      <x:c r="B585" s="7" t="n">
        <x:v>46</x:v>
      </x:c>
      <x:c r="C585" s="2" t="str">
        <x:f>INT(B585/10)*10&amp;"대"</x:f>
        <x:v>40대</x:v>
      </x:c>
      <x:c r="D585" s="2" t="str">
        <x:v>여성</x:v>
      </x:c>
      <x:c r="E585" s="7" t="n">
        <x:v>4000</x:v>
      </x:c>
      <x:c r="F585" s="7" t="n">
        <x:v>1</x:v>
      </x:c>
      <x:c r="G585" s="2" t="str">
        <x:v>기혼</x:v>
      </x:c>
      <x:c r="H585" s="7" t="n">
        <x:v>2</x:v>
      </x:c>
      <x:c r="I585" s="2" t="str">
        <x:f>IF(H585&lt;3,H585&amp;"명","3명 이상")</x:f>
        <x:v>2명</x:v>
      </x:c>
      <x:c r="J585" s="2" t="str">
        <x:v>비흡연</x:v>
      </x:c>
      <x:c r="K585" s="2" t="str">
        <x:v>없음</x:v>
      </x:c>
      <x:c r="L585" s="2" t="str">
        <x:v>없음</x:v>
      </x:c>
      <x:c r="M585" s="2" t="str">
        <x:v>수호천사 암/건강보험</x:v>
      </x:c>
      <x:c r="N585" s="2" t="str">
        <x:f>VLOOKUP(M585,'분류기준'!$A$5:$B$8,2,FALSE)</x:f>
        <x:v>암/건강보험</x:v>
      </x:c>
      <x:c r="O585" s="2" t="str">
        <x:v>수술비 보장 특약</x:v>
      </x:c>
      <x:c r="P585" s="2" t="str">
        <x:f>IF(O585="선택 안함","선택 안함",IF(O585="특약 없음","특약 없음","가입"))</x:f>
        <x:v>가입</x:v>
      </x:c>
      <x:c r="Q585" s="2" t="str">
        <x:f>IF(P585="가입","가입","미가입")</x:f>
        <x:v>가입</x:v>
      </x:c>
    </x:row>
    <x:row r="586" ht="23" customHeight="1">
      <x:c r="A586" s="2" t="str">
        <x:v>C0686</x:v>
      </x:c>
      <x:c r="B586" s="7" t="n">
        <x:v>46</x:v>
      </x:c>
      <x:c r="C586" s="2" t="str">
        <x:f>INT(B586/10)*10&amp;"대"</x:f>
        <x:v>40대</x:v>
      </x:c>
      <x:c r="D586" s="2" t="str">
        <x:v>여성</x:v>
      </x:c>
      <x:c r="E586" s="7" t="n">
        <x:v>5000</x:v>
      </x:c>
      <x:c r="F586" s="7" t="n">
        <x:v>1</x:v>
      </x:c>
      <x:c r="G586" s="2" t="str">
        <x:v>기혼</x:v>
      </x:c>
      <x:c r="H586" s="7" t="n">
        <x:v>1</x:v>
      </x:c>
      <x:c r="I586" s="2" t="str">
        <x:f>IF(H586&lt;3,H586&amp;"명","3명 이상")</x:f>
        <x:v>1명</x:v>
      </x:c>
      <x:c r="J586" s="2" t="str">
        <x:v>흡연</x:v>
      </x:c>
      <x:c r="K586" s="2" t="str">
        <x:v>고혈압</x:v>
      </x:c>
      <x:c r="L586" s="2" t="str">
        <x:v>없음</x:v>
      </x:c>
      <x:c r="M586" s="2" t="str">
        <x:v>수호천사 우리가족 종신보험</x:v>
      </x:c>
      <x:c r="N586" s="2" t="str">
        <x:f>VLOOKUP(M586,'분류기준'!$A$5:$B$8,2,FALSE)</x:f>
        <x:v>종신보험</x:v>
      </x:c>
      <x:c r="O586" s="2" t="str">
        <x:v>가족 수입 보장 특약</x:v>
      </x:c>
      <x:c r="P586" s="2" t="str">
        <x:f>IF(O586="선택 안함","선택 안함",IF(O586="특약 없음","특약 없음","가입"))</x:f>
        <x:v>가입</x:v>
      </x:c>
      <x:c r="Q586" s="2" t="str">
        <x:f>IF(P586="가입","가입","미가입")</x:f>
        <x:v>가입</x:v>
      </x:c>
    </x:row>
    <x:row r="587" ht="23" customHeight="1">
      <x:c r="A587" s="2" t="str">
        <x:v>C0715</x:v>
      </x:c>
      <x:c r="B587" s="7" t="n">
        <x:v>46</x:v>
      </x:c>
      <x:c r="C587" s="2" t="str">
        <x:f>INT(B587/10)*10&amp;"대"</x:f>
        <x:v>40대</x:v>
      </x:c>
      <x:c r="D587" s="2" t="str">
        <x:v>여성</x:v>
      </x:c>
      <x:c r="E587" s="7" t="n">
        <x:v>6000</x:v>
      </x:c>
      <x:c r="F587" s="7" t="n">
        <x:v>2</x:v>
      </x:c>
      <x:c r="G587" s="2" t="str">
        <x:v>기혼</x:v>
      </x:c>
      <x:c r="H587" s="7" t="n">
        <x:v>1</x:v>
      </x:c>
      <x:c r="I587" s="2" t="str">
        <x:f>IF(H587&lt;3,H587&amp;"명","3명 이상")</x:f>
        <x:v>1명</x:v>
      </x:c>
      <x:c r="J587" s="2" t="str">
        <x:v>흡연</x:v>
      </x:c>
      <x:c r="K587" s="2" t="str">
        <x:v>고혈압</x:v>
      </x:c>
      <x:c r="L587" s="2" t="str">
        <x:v>없음</x:v>
      </x:c>
      <x:c r="M587" s="2" t="str">
        <x:v>수호천사 간편심사(유병자)보험</x:v>
      </x:c>
      <x:c r="N587" s="2" t="str">
        <x:f>VLOOKUP(M587,'분류기준'!$A$5:$B$8,2,FALSE)</x:f>
        <x:v>간편심사보험</x:v>
      </x:c>
      <x:c r="O587" s="2" t="str">
        <x:v>중증질환 산정특례 보장 특약</x:v>
      </x:c>
      <x:c r="P587" s="2" t="str">
        <x:f>IF(O587="선택 안함","선택 안함",IF(O587="특약 없음","특약 없음","가입"))</x:f>
        <x:v>가입</x:v>
      </x:c>
      <x:c r="Q587" s="2" t="str">
        <x:f>IF(P587="가입","가입","미가입")</x:f>
        <x:v>가입</x:v>
      </x:c>
    </x:row>
    <x:row r="588" ht="23" customHeight="1">
      <x:c r="A588" s="2" t="str">
        <x:v>C0779</x:v>
      </x:c>
      <x:c r="B588" s="7" t="n">
        <x:v>46</x:v>
      </x:c>
      <x:c r="C588" s="2" t="str">
        <x:f>INT(B588/10)*10&amp;"대"</x:f>
        <x:v>40대</x:v>
      </x:c>
      <x:c r="D588" s="2" t="str">
        <x:v>여성</x:v>
      </x:c>
      <x:c r="E588" s="7" t="n">
        <x:v>5000</x:v>
      </x:c>
      <x:c r="F588" s="7" t="n">
        <x:v>1</x:v>
      </x:c>
      <x:c r="G588" s="2" t="str">
        <x:v>기혼</x:v>
      </x:c>
      <x:c r="H588" s="7" t="n">
        <x:v>2</x:v>
      </x:c>
      <x:c r="I588" s="2" t="str">
        <x:f>IF(H588&lt;3,H588&amp;"명","3명 이상")</x:f>
        <x:v>2명</x:v>
      </x:c>
      <x:c r="J588" s="2" t="str">
        <x:v>비흡연</x:v>
      </x:c>
      <x:c r="K588" s="2" t="str">
        <x:v>없음</x:v>
      </x:c>
      <x:c r="L588" s="2" t="str">
        <x:v>암</x:v>
      </x:c>
      <x:c r="M588" s="2" t="str">
        <x:v>수호천사 우리가족 종신보험</x:v>
      </x:c>
      <x:c r="N588" s="2" t="str">
        <x:f>VLOOKUP(M588,'분류기준'!$A$5:$B$8,2,FALSE)</x:f>
        <x:v>종신보험</x:v>
      </x:c>
      <x:c r="O588" s="2" t="str">
        <x:v>가족 수입 보장 특약</x:v>
      </x:c>
      <x:c r="P588" s="2" t="str">
        <x:f>IF(O588="선택 안함","선택 안함",IF(O588="특약 없음","특약 없음","가입"))</x:f>
        <x:v>가입</x:v>
      </x:c>
      <x:c r="Q588" s="2" t="str">
        <x:f>IF(P588="가입","가입","미가입")</x:f>
        <x:v>가입</x:v>
      </x:c>
    </x:row>
    <x:row r="589" ht="23" customHeight="1">
      <x:c r="A589" s="2" t="str">
        <x:v>C0818</x:v>
      </x:c>
      <x:c r="B589" s="7" t="n">
        <x:v>46</x:v>
      </x:c>
      <x:c r="C589" s="2" t="str">
        <x:f>INT(B589/10)*10&amp;"대"</x:f>
        <x:v>40대</x:v>
      </x:c>
      <x:c r="D589" s="2" t="str">
        <x:v>남성</x:v>
      </x:c>
      <x:c r="E589" s="7" t="n">
        <x:v>7500</x:v>
      </x:c>
      <x:c r="F589" s="7" t="n">
        <x:v>1</x:v>
      </x:c>
      <x:c r="G589" s="2" t="str">
        <x:v>기혼</x:v>
      </x:c>
      <x:c r="H589" s="7" t="n">
        <x:v>1</x:v>
      </x:c>
      <x:c r="I589" s="2" t="str">
        <x:f>IF(H589&lt;3,H589&amp;"명","3명 이상")</x:f>
        <x:v>1명</x:v>
      </x:c>
      <x:c r="J589" s="2" t="str">
        <x:v>비흡연</x:v>
      </x:c>
      <x:c r="K589" s="2" t="str">
        <x:v>없음</x:v>
      </x:c>
      <x:c r="L589" s="2" t="str">
        <x:v>심혈관</x:v>
      </x:c>
      <x:c r="M589" s="2" t="str">
        <x:v>수호천사 행복 연금보험</x:v>
      </x:c>
      <x:c r="N589" s="2" t="str">
        <x:f>VLOOKUP(M589,'분류기준'!$A$5:$B$8,2,FALSE)</x:f>
        <x:v>연금보험</x:v>
      </x:c>
      <x:c r="O589" s="2" t="str">
        <x:v>특약 없음</x:v>
      </x:c>
      <x:c r="P589" s="2" t="str">
        <x:f>IF(O589="선택 안함","선택 안함",IF(O589="특약 없음","특약 없음","가입"))</x:f>
        <x:v>특약 없음</x:v>
      </x:c>
      <x:c r="Q589" s="2" t="str">
        <x:f>IF(P589="가입","가입","미가입")</x:f>
        <x:v>미가입</x:v>
      </x:c>
    </x:row>
    <x:row r="590" ht="23" customHeight="1">
      <x:c r="A590" s="2" t="str">
        <x:v>C0840</x:v>
      </x:c>
      <x:c r="B590" s="7" t="n">
        <x:v>46</x:v>
      </x:c>
      <x:c r="C590" s="2" t="str">
        <x:f>INT(B590/10)*10&amp;"대"</x:f>
        <x:v>40대</x:v>
      </x:c>
      <x:c r="D590" s="2" t="str">
        <x:v>남성</x:v>
      </x:c>
      <x:c r="E590" s="7" t="n">
        <x:v>3000</x:v>
      </x:c>
      <x:c r="F590" s="7" t="n">
        <x:v>1</x:v>
      </x:c>
      <x:c r="G590" s="2" t="str">
        <x:v>기혼</x:v>
      </x:c>
      <x:c r="H590" s="7" t="n">
        <x:v>1</x:v>
      </x:c>
      <x:c r="I590" s="2" t="str">
        <x:f>IF(H590&lt;3,H590&amp;"명","3명 이상")</x:f>
        <x:v>1명</x:v>
      </x:c>
      <x:c r="J590" s="2" t="str">
        <x:v>비흡연</x:v>
      </x:c>
      <x:c r="K590" s="2" t="str">
        <x:v>없음</x:v>
      </x:c>
      <x:c r="L590" s="2" t="str">
        <x:v>심혈관</x:v>
      </x:c>
      <x:c r="M590" s="2" t="str">
        <x:v>수호천사 우리가족 종신보험</x:v>
      </x:c>
      <x:c r="N590" s="2" t="str">
        <x:f>VLOOKUP(M590,'분류기준'!$A$5:$B$8,2,FALSE)</x:f>
        <x:v>종신보험</x:v>
      </x:c>
      <x:c r="O590" s="2" t="str">
        <x:v>가족 수입 보장 특약</x:v>
      </x:c>
      <x:c r="P590" s="2" t="str">
        <x:f>IF(O590="선택 안함","선택 안함",IF(O590="특약 없음","특약 없음","가입"))</x:f>
        <x:v>가입</x:v>
      </x:c>
      <x:c r="Q590" s="2" t="str">
        <x:f>IF(P590="가입","가입","미가입")</x:f>
        <x:v>가입</x:v>
      </x:c>
    </x:row>
    <x:row r="591" ht="23" customHeight="1">
      <x:c r="A591" s="2" t="str">
        <x:v>C0032</x:v>
      </x:c>
      <x:c r="B591" s="7" t="n">
        <x:v>47</x:v>
      </x:c>
      <x:c r="C591" s="2" t="str">
        <x:f>INT(B591/10)*10&amp;"대"</x:f>
        <x:v>40대</x:v>
      </x:c>
      <x:c r="D591" s="2" t="str">
        <x:v>남성</x:v>
      </x:c>
      <x:c r="E591" s="7" t="n">
        <x:v>3000</x:v>
      </x:c>
      <x:c r="F591" s="7" t="n">
        <x:v>1</x:v>
      </x:c>
      <x:c r="G591" s="2" t="str">
        <x:v>기혼</x:v>
      </x:c>
      <x:c r="H591" s="7" t="n">
        <x:v>0</x:v>
      </x:c>
      <x:c r="I591" s="2" t="str">
        <x:f>IF(H591&lt;3,H591&amp;"명","3명 이상")</x:f>
        <x:v>0명</x:v>
      </x:c>
      <x:c r="J591" s="2" t="str">
        <x:v>비흡연</x:v>
      </x:c>
      <x:c r="K591" s="2" t="str">
        <x:v>없음</x:v>
      </x:c>
      <x:c r="L591" s="2" t="str">
        <x:v>암</x:v>
      </x:c>
      <x:c r="M591" s="2" t="str">
        <x:v>수호천사 암/건강보험</x:v>
      </x:c>
      <x:c r="N591" s="2" t="str">
        <x:f>VLOOKUP(M591,'분류기준'!$A$5:$B$8,2,FALSE)</x:f>
        <x:v>암/건강보험</x:v>
      </x:c>
      <x:c r="O591" s="2" t="str">
        <x:v>표적항암약물허가치료 특약</x:v>
      </x:c>
      <x:c r="P591" s="2" t="str">
        <x:f>IF(O591="선택 안함","선택 안함",IF(O591="특약 없음","특약 없음","가입"))</x:f>
        <x:v>가입</x:v>
      </x:c>
      <x:c r="Q591" s="2" t="str">
        <x:f>IF(P591="가입","가입","미가입")</x:f>
        <x:v>가입</x:v>
      </x:c>
    </x:row>
    <x:row r="592" ht="23" customHeight="1">
      <x:c r="A592" s="2" t="str">
        <x:v>C0050</x:v>
      </x:c>
      <x:c r="B592" s="7" t="n">
        <x:v>47</x:v>
      </x:c>
      <x:c r="C592" s="2" t="str">
        <x:f>INT(B592/10)*10&amp;"대"</x:f>
        <x:v>40대</x:v>
      </x:c>
      <x:c r="D592" s="2" t="str">
        <x:v>여성</x:v>
      </x:c>
      <x:c r="E592" s="7" t="n">
        <x:v>3000</x:v>
      </x:c>
      <x:c r="F592" s="7" t="n">
        <x:v>2</x:v>
      </x:c>
      <x:c r="G592" s="2" t="str">
        <x:v>미혼</x:v>
      </x:c>
      <x:c r="H592" s="7" t="n">
        <x:v>0</x:v>
      </x:c>
      <x:c r="I592" s="2" t="str">
        <x:f>IF(H592&lt;3,H592&amp;"명","3명 이상")</x:f>
        <x:v>0명</x:v>
      </x:c>
      <x:c r="J592" s="2" t="str">
        <x:v>비흡연</x:v>
      </x:c>
      <x:c r="K592" s="2" t="str">
        <x:v>없음</x:v>
      </x:c>
      <x:c r="L592" s="2" t="str">
        <x:v>암</x:v>
      </x:c>
      <x:c r="M592" s="2" t="str">
        <x:v>수호천사 암/건강보험</x:v>
      </x:c>
      <x:c r="N592" s="2" t="str">
        <x:f>VLOOKUP(M592,'분류기준'!$A$5:$B$8,2,FALSE)</x:f>
        <x:v>암/건강보험</x:v>
      </x:c>
      <x:c r="O592" s="2" t="str">
        <x:v>표적항암약물허가치료 특약</x:v>
      </x:c>
      <x:c r="P592" s="2" t="str">
        <x:f>IF(O592="선택 안함","선택 안함",IF(O592="특약 없음","특약 없음","가입"))</x:f>
        <x:v>가입</x:v>
      </x:c>
      <x:c r="Q592" s="2" t="str">
        <x:f>IF(P592="가입","가입","미가입")</x:f>
        <x:v>가입</x:v>
      </x:c>
    </x:row>
    <x:row r="593" ht="23" customHeight="1">
      <x:c r="A593" s="2" t="str">
        <x:v>C0109</x:v>
      </x:c>
      <x:c r="B593" s="7" t="n">
        <x:v>47</x:v>
      </x:c>
      <x:c r="C593" s="2" t="str">
        <x:f>INT(B593/10)*10&amp;"대"</x:f>
        <x:v>40대</x:v>
      </x:c>
      <x:c r="D593" s="2" t="str">
        <x:v>여성</x:v>
      </x:c>
      <x:c r="E593" s="7" t="n">
        <x:v>5000</x:v>
      </x:c>
      <x:c r="F593" s="7" t="n">
        <x:v>1</x:v>
      </x:c>
      <x:c r="G593" s="2" t="str">
        <x:v>기혼</x:v>
      </x:c>
      <x:c r="H593" s="7" t="n">
        <x:v>2</x:v>
      </x:c>
      <x:c r="I593" s="2" t="str">
        <x:f>IF(H593&lt;3,H593&amp;"명","3명 이상")</x:f>
        <x:v>2명</x:v>
      </x:c>
      <x:c r="J593" s="2" t="str">
        <x:v>비흡연</x:v>
      </x:c>
      <x:c r="K593" s="2" t="str">
        <x:v>없음</x:v>
      </x:c>
      <x:c r="L593" s="2" t="str">
        <x:v>없음</x:v>
      </x:c>
      <x:c r="M593" s="2" t="str">
        <x:v>수호천사 암/건강보험</x:v>
      </x:c>
      <x:c r="N593" s="2" t="str">
        <x:f>VLOOKUP(M593,'분류기준'!$A$5:$B$8,2,FALSE)</x:f>
        <x:v>암/건강보험</x:v>
      </x:c>
      <x:c r="O593" s="2" t="str">
        <x:v>선택 안함</x:v>
      </x:c>
      <x:c r="P593" s="2" t="str">
        <x:f>IF(O593="선택 안함","선택 안함",IF(O593="특약 없음","특약 없음","가입"))</x:f>
        <x:v>선택 안함</x:v>
      </x:c>
      <x:c r="Q593" s="2" t="str">
        <x:f>IF(P593="가입","가입","미가입")</x:f>
        <x:v>미가입</x:v>
      </x:c>
    </x:row>
    <x:row r="594" ht="23" customHeight="1">
      <x:c r="A594" s="2" t="str">
        <x:v>C0159</x:v>
      </x:c>
      <x:c r="B594" s="7" t="n">
        <x:v>47</x:v>
      </x:c>
      <x:c r="C594" s="2" t="str">
        <x:f>INT(B594/10)*10&amp;"대"</x:f>
        <x:v>40대</x:v>
      </x:c>
      <x:c r="D594" s="2" t="str">
        <x:v>여성</x:v>
      </x:c>
      <x:c r="E594" s="7" t="n">
        <x:v>5000</x:v>
      </x:c>
      <x:c r="F594" s="7" t="n">
        <x:v>1</x:v>
      </x:c>
      <x:c r="G594" s="2" t="str">
        <x:v>미혼</x:v>
      </x:c>
      <x:c r="H594" s="7" t="n">
        <x:v>0</x:v>
      </x:c>
      <x:c r="I594" s="2" t="str">
        <x:f>IF(H594&lt;3,H594&amp;"명","3명 이상")</x:f>
        <x:v>0명</x:v>
      </x:c>
      <x:c r="J594" s="2" t="str">
        <x:v>비흡연</x:v>
      </x:c>
      <x:c r="K594" s="2" t="str">
        <x:v>당뇨</x:v>
      </x:c>
      <x:c r="L594" s="2" t="str">
        <x:v>심혈관</x:v>
      </x:c>
      <x:c r="M594" s="2" t="str">
        <x:v>수호천사 간편심사(유병자)보험</x:v>
      </x:c>
      <x:c r="N594" s="2" t="str">
        <x:f>VLOOKUP(M594,'분류기준'!$A$5:$B$8,2,FALSE)</x:f>
        <x:v>간편심사보험</x:v>
      </x:c>
      <x:c r="O594" s="2" t="str">
        <x:v>중증질환 산정특례 보장 특약</x:v>
      </x:c>
      <x:c r="P594" s="2" t="str">
        <x:f>IF(O594="선택 안함","선택 안함",IF(O594="특약 없음","특약 없음","가입"))</x:f>
        <x:v>가입</x:v>
      </x:c>
      <x:c r="Q594" s="2" t="str">
        <x:f>IF(P594="가입","가입","미가입")</x:f>
        <x:v>가입</x:v>
      </x:c>
    </x:row>
    <x:row r="595" ht="23" customHeight="1">
      <x:c r="A595" s="2" t="str">
        <x:v>C0164</x:v>
      </x:c>
      <x:c r="B595" s="7" t="n">
        <x:v>47</x:v>
      </x:c>
      <x:c r="C595" s="2" t="str">
        <x:f>INT(B595/10)*10&amp;"대"</x:f>
        <x:v>40대</x:v>
      </x:c>
      <x:c r="D595" s="2" t="str">
        <x:v>여성</x:v>
      </x:c>
      <x:c r="E595" s="7" t="n">
        <x:v>7500</x:v>
      </x:c>
      <x:c r="F595" s="7" t="n">
        <x:v>1</x:v>
      </x:c>
      <x:c r="G595" s="2" t="str">
        <x:v>기혼</x:v>
      </x:c>
      <x:c r="H595" s="7" t="n">
        <x:v>1</x:v>
      </x:c>
      <x:c r="I595" s="2" t="str">
        <x:f>IF(H595&lt;3,H595&amp;"명","3명 이상")</x:f>
        <x:v>1명</x:v>
      </x:c>
      <x:c r="J595" s="2" t="str">
        <x:v>흡연</x:v>
      </x:c>
      <x:c r="K595" s="2" t="str">
        <x:v>없음</x:v>
      </x:c>
      <x:c r="L595" s="2" t="str">
        <x:v>암</x:v>
      </x:c>
      <x:c r="M595" s="2" t="str">
        <x:v>수호천사 행복 연금보험</x:v>
      </x:c>
      <x:c r="N595" s="2" t="str">
        <x:f>VLOOKUP(M595,'분류기준'!$A$5:$B$8,2,FALSE)</x:f>
        <x:v>연금보험</x:v>
      </x:c>
      <x:c r="O595" s="2" t="str">
        <x:v>특약 없음</x:v>
      </x:c>
      <x:c r="P595" s="2" t="str">
        <x:f>IF(O595="선택 안함","선택 안함",IF(O595="특약 없음","특약 없음","가입"))</x:f>
        <x:v>특약 없음</x:v>
      </x:c>
      <x:c r="Q595" s="2" t="str">
        <x:f>IF(P595="가입","가입","미가입")</x:f>
        <x:v>미가입</x:v>
      </x:c>
    </x:row>
    <x:row r="596" ht="23" customHeight="1">
      <x:c r="A596" s="2" t="str">
        <x:v>C0165</x:v>
      </x:c>
      <x:c r="B596" s="7" t="n">
        <x:v>47</x:v>
      </x:c>
      <x:c r="C596" s="2" t="str">
        <x:f>INT(B596/10)*10&amp;"대"</x:f>
        <x:v>40대</x:v>
      </x:c>
      <x:c r="D596" s="2" t="str">
        <x:v>여성</x:v>
      </x:c>
      <x:c r="E596" s="7" t="n">
        <x:v>6000</x:v>
      </x:c>
      <x:c r="F596" s="7" t="n">
        <x:v>1</x:v>
      </x:c>
      <x:c r="G596" s="2" t="str">
        <x:v>기혼</x:v>
      </x:c>
      <x:c r="H596" s="7" t="n">
        <x:v>2</x:v>
      </x:c>
      <x:c r="I596" s="2" t="str">
        <x:f>IF(H596&lt;3,H596&amp;"명","3명 이상")</x:f>
        <x:v>2명</x:v>
      </x:c>
      <x:c r="J596" s="2" t="str">
        <x:v>비흡연</x:v>
      </x:c>
      <x:c r="K596" s="2" t="str">
        <x:v>없음</x:v>
      </x:c>
      <x:c r="L596" s="2" t="str">
        <x:v>없음</x:v>
      </x:c>
      <x:c r="M596" s="2" t="str">
        <x:v>수호천사 행복 연금보험</x:v>
      </x:c>
      <x:c r="N596" s="2" t="str">
        <x:f>VLOOKUP(M596,'분류기준'!$A$5:$B$8,2,FALSE)</x:f>
        <x:v>연금보험</x:v>
      </x:c>
      <x:c r="O596" s="2" t="str">
        <x:v>특약 없음</x:v>
      </x:c>
      <x:c r="P596" s="2" t="str">
        <x:f>IF(O596="선택 안함","선택 안함",IF(O596="특약 없음","특약 없음","가입"))</x:f>
        <x:v>특약 없음</x:v>
      </x:c>
      <x:c r="Q596" s="2" t="str">
        <x:f>IF(P596="가입","가입","미가입")</x:f>
        <x:v>미가입</x:v>
      </x:c>
    </x:row>
    <x:row r="597" ht="23" customHeight="1">
      <x:c r="A597" s="2" t="str">
        <x:v>C0171</x:v>
      </x:c>
      <x:c r="B597" s="7" t="n">
        <x:v>47</x:v>
      </x:c>
      <x:c r="C597" s="2" t="str">
        <x:f>INT(B597/10)*10&amp;"대"</x:f>
        <x:v>40대</x:v>
      </x:c>
      <x:c r="D597" s="2" t="str">
        <x:v>여성</x:v>
      </x:c>
      <x:c r="E597" s="7" t="n">
        <x:v>4000</x:v>
      </x:c>
      <x:c r="F597" s="7" t="n">
        <x:v>2</x:v>
      </x:c>
      <x:c r="G597" s="2" t="str">
        <x:v>기혼</x:v>
      </x:c>
      <x:c r="H597" s="7" t="n">
        <x:v>1</x:v>
      </x:c>
      <x:c r="I597" s="2" t="str">
        <x:f>IF(H597&lt;3,H597&amp;"명","3명 이상")</x:f>
        <x:v>1명</x:v>
      </x:c>
      <x:c r="J597" s="2" t="str">
        <x:v>비흡연</x:v>
      </x:c>
      <x:c r="K597" s="2" t="str">
        <x:v>없음</x:v>
      </x:c>
      <x:c r="L597" s="2" t="str">
        <x:v>없음</x:v>
      </x:c>
      <x:c r="M597" s="2" t="str">
        <x:v>수호천사 암/건강보험</x:v>
      </x:c>
      <x:c r="N597" s="2" t="str">
        <x:f>VLOOKUP(M597,'분류기준'!$A$5:$B$8,2,FALSE)</x:f>
        <x:v>암/건강보험</x:v>
      </x:c>
      <x:c r="O597" s="2" t="str">
        <x:v>표적항암약물허가치료 특약</x:v>
      </x:c>
      <x:c r="P597" s="2" t="str">
        <x:f>IF(O597="선택 안함","선택 안함",IF(O597="특약 없음","특약 없음","가입"))</x:f>
        <x:v>가입</x:v>
      </x:c>
      <x:c r="Q597" s="2" t="str">
        <x:f>IF(P597="가입","가입","미가입")</x:f>
        <x:v>가입</x:v>
      </x:c>
    </x:row>
    <x:row r="598" ht="23" customHeight="1">
      <x:c r="A598" s="2" t="str">
        <x:v>C0203</x:v>
      </x:c>
      <x:c r="B598" s="7" t="n">
        <x:v>47</x:v>
      </x:c>
      <x:c r="C598" s="2" t="str">
        <x:f>INT(B598/10)*10&amp;"대"</x:f>
        <x:v>40대</x:v>
      </x:c>
      <x:c r="D598" s="2" t="str">
        <x:v>여성</x:v>
      </x:c>
      <x:c r="E598" s="7" t="n">
        <x:v>4000</x:v>
      </x:c>
      <x:c r="F598" s="7" t="n">
        <x:v>3</x:v>
      </x:c>
      <x:c r="G598" s="2" t="str">
        <x:v>기혼</x:v>
      </x:c>
      <x:c r="H598" s="7" t="n">
        <x:v>1</x:v>
      </x:c>
      <x:c r="I598" s="2" t="str">
        <x:f>IF(H598&lt;3,H598&amp;"명","3명 이상")</x:f>
        <x:v>1명</x:v>
      </x:c>
      <x:c r="J598" s="2" t="str">
        <x:v>흡연</x:v>
      </x:c>
      <x:c r="K598" s="2" t="str">
        <x:v>없음</x:v>
      </x:c>
      <x:c r="L598" s="2" t="str">
        <x:v>없음</x:v>
      </x:c>
      <x:c r="M598" s="2" t="str">
        <x:v>수호천사 우리가족 종신보험</x:v>
      </x:c>
      <x:c r="N598" s="2" t="str">
        <x:f>VLOOKUP(M598,'분류기준'!$A$5:$B$8,2,FALSE)</x:f>
        <x:v>종신보험</x:v>
      </x:c>
      <x:c r="O598" s="2" t="str">
        <x:v>가족 수입 보장 특약</x:v>
      </x:c>
      <x:c r="P598" s="2" t="str">
        <x:f>IF(O598="선택 안함","선택 안함",IF(O598="특약 없음","특약 없음","가입"))</x:f>
        <x:v>가입</x:v>
      </x:c>
      <x:c r="Q598" s="2" t="str">
        <x:f>IF(P598="가입","가입","미가입")</x:f>
        <x:v>가입</x:v>
      </x:c>
    </x:row>
    <x:row r="599" ht="23" customHeight="1">
      <x:c r="A599" s="2" t="str">
        <x:v>C0250</x:v>
      </x:c>
      <x:c r="B599" s="7" t="n">
        <x:v>47</x:v>
      </x:c>
      <x:c r="C599" s="2" t="str">
        <x:f>INT(B599/10)*10&amp;"대"</x:f>
        <x:v>40대</x:v>
      </x:c>
      <x:c r="D599" s="2" t="str">
        <x:v>남성</x:v>
      </x:c>
      <x:c r="E599" s="7" t="n">
        <x:v>6000</x:v>
      </x:c>
      <x:c r="F599" s="7" t="n">
        <x:v>1</x:v>
      </x:c>
      <x:c r="G599" s="2" t="str">
        <x:v>기혼</x:v>
      </x:c>
      <x:c r="H599" s="7" t="n">
        <x:v>1</x:v>
      </x:c>
      <x:c r="I599" s="2" t="str">
        <x:f>IF(H599&lt;3,H599&amp;"명","3명 이상")</x:f>
        <x:v>1명</x:v>
      </x:c>
      <x:c r="J599" s="2" t="str">
        <x:v>흡연</x:v>
      </x:c>
      <x:c r="K599" s="2" t="str">
        <x:v>당뇨</x:v>
      </x:c>
      <x:c r="L599" s="2" t="str">
        <x:v>없음</x:v>
      </x:c>
      <x:c r="M599" s="2" t="str">
        <x:v>수호천사 우리가족 종신보험</x:v>
      </x:c>
      <x:c r="N599" s="2" t="str">
        <x:f>VLOOKUP(M599,'분류기준'!$A$5:$B$8,2,FALSE)</x:f>
        <x:v>종신보험</x:v>
      </x:c>
      <x:c r="O599" s="2" t="str">
        <x:v>가족 수입 보장 특약</x:v>
      </x:c>
      <x:c r="P599" s="2" t="str">
        <x:f>IF(O599="선택 안함","선택 안함",IF(O599="특약 없음","특약 없음","가입"))</x:f>
        <x:v>가입</x:v>
      </x:c>
      <x:c r="Q599" s="2" t="str">
        <x:f>IF(P599="가입","가입","미가입")</x:f>
        <x:v>가입</x:v>
      </x:c>
    </x:row>
    <x:row r="600" ht="23" customHeight="1">
      <x:c r="A600" s="2" t="str">
        <x:v>C0321</x:v>
      </x:c>
      <x:c r="B600" s="7" t="n">
        <x:v>47</x:v>
      </x:c>
      <x:c r="C600" s="2" t="str">
        <x:f>INT(B600/10)*10&amp;"대"</x:f>
        <x:v>40대</x:v>
      </x:c>
      <x:c r="D600" s="2" t="str">
        <x:v>여성</x:v>
      </x:c>
      <x:c r="E600" s="7" t="n">
        <x:v>4000</x:v>
      </x:c>
      <x:c r="F600" s="7" t="n">
        <x:v>1</x:v>
      </x:c>
      <x:c r="G600" s="2" t="str">
        <x:v>기혼</x:v>
      </x:c>
      <x:c r="H600" s="7" t="n">
        <x:v>0</x:v>
      </x:c>
      <x:c r="I600" s="2" t="str">
        <x:f>IF(H600&lt;3,H600&amp;"명","3명 이상")</x:f>
        <x:v>0명</x:v>
      </x:c>
      <x:c r="J600" s="2" t="str">
        <x:v>비흡연</x:v>
      </x:c>
      <x:c r="K600" s="2" t="str">
        <x:v>없음</x:v>
      </x:c>
      <x:c r="L600" s="2" t="str">
        <x:v>없음</x:v>
      </x:c>
      <x:c r="M600" s="2" t="str">
        <x:v>수호천사 행복 연금보험</x:v>
      </x:c>
      <x:c r="N600" s="2" t="str">
        <x:f>VLOOKUP(M600,'분류기준'!$A$5:$B$8,2,FALSE)</x:f>
        <x:v>연금보험</x:v>
      </x:c>
      <x:c r="O600" s="2" t="str">
        <x:v>특약 없음</x:v>
      </x:c>
      <x:c r="P600" s="2" t="str">
        <x:f>IF(O600="선택 안함","선택 안함",IF(O600="특약 없음","특약 없음","가입"))</x:f>
        <x:v>특약 없음</x:v>
      </x:c>
      <x:c r="Q600" s="2" t="str">
        <x:f>IF(P600="가입","가입","미가입")</x:f>
        <x:v>미가입</x:v>
      </x:c>
    </x:row>
    <x:row r="601" ht="23" customHeight="1">
      <x:c r="A601" s="2" t="str">
        <x:v>C0329</x:v>
      </x:c>
      <x:c r="B601" s="7" t="n">
        <x:v>47</x:v>
      </x:c>
      <x:c r="C601" s="2" t="str">
        <x:f>INT(B601/10)*10&amp;"대"</x:f>
        <x:v>40대</x:v>
      </x:c>
      <x:c r="D601" s="2" t="str">
        <x:v>남성</x:v>
      </x:c>
      <x:c r="E601" s="7" t="n">
        <x:v>4000</x:v>
      </x:c>
      <x:c r="F601" s="7" t="n">
        <x:v>2</x:v>
      </x:c>
      <x:c r="G601" s="2" t="str">
        <x:v>기혼</x:v>
      </x:c>
      <x:c r="H601" s="7" t="n">
        <x:v>1</x:v>
      </x:c>
      <x:c r="I601" s="2" t="str">
        <x:f>IF(H601&lt;3,H601&amp;"명","3명 이상")</x:f>
        <x:v>1명</x:v>
      </x:c>
      <x:c r="J601" s="2" t="str">
        <x:v>비흡연</x:v>
      </x:c>
      <x:c r="K601" s="2" t="str">
        <x:v>없음</x:v>
      </x:c>
      <x:c r="L601" s="2" t="str">
        <x:v>없음</x:v>
      </x:c>
      <x:c r="M601" s="2" t="str">
        <x:v>수호천사 우리가족 종신보험</x:v>
      </x:c>
      <x:c r="N601" s="2" t="str">
        <x:f>VLOOKUP(M601,'분류기준'!$A$5:$B$8,2,FALSE)</x:f>
        <x:v>종신보험</x:v>
      </x:c>
      <x:c r="O601" s="2" t="str">
        <x:v>가족 수입 보장 특약</x:v>
      </x:c>
      <x:c r="P601" s="2" t="str">
        <x:f>IF(O601="선택 안함","선택 안함",IF(O601="특약 없음","특약 없음","가입"))</x:f>
        <x:v>가입</x:v>
      </x:c>
      <x:c r="Q601" s="2" t="str">
        <x:f>IF(P601="가입","가입","미가입")</x:f>
        <x:v>가입</x:v>
      </x:c>
    </x:row>
    <x:row r="602" ht="23" customHeight="1">
      <x:c r="A602" s="2" t="str">
        <x:v>C0389</x:v>
      </x:c>
      <x:c r="B602" s="7" t="n">
        <x:v>47</x:v>
      </x:c>
      <x:c r="C602" s="2" t="str">
        <x:f>INT(B602/10)*10&amp;"대"</x:f>
        <x:v>40대</x:v>
      </x:c>
      <x:c r="D602" s="2" t="str">
        <x:v>여성</x:v>
      </x:c>
      <x:c r="E602" s="7" t="n">
        <x:v>3000</x:v>
      </x:c>
      <x:c r="F602" s="7" t="n">
        <x:v>2</x:v>
      </x:c>
      <x:c r="G602" s="2" t="str">
        <x:v>기혼</x:v>
      </x:c>
      <x:c r="H602" s="7" t="n">
        <x:v>2</x:v>
      </x:c>
      <x:c r="I602" s="2" t="str">
        <x:f>IF(H602&lt;3,H602&amp;"명","3명 이상")</x:f>
        <x:v>2명</x:v>
      </x:c>
      <x:c r="J602" s="2" t="str">
        <x:v>비흡연</x:v>
      </x:c>
      <x:c r="K602" s="2" t="str">
        <x:v>없음</x:v>
      </x:c>
      <x:c r="L602" s="2" t="str">
        <x:v>암</x:v>
      </x:c>
      <x:c r="M602" s="2" t="str">
        <x:v>수호천사 우리가족 종신보험</x:v>
      </x:c>
      <x:c r="N602" s="2" t="str">
        <x:f>VLOOKUP(M602,'분류기준'!$A$5:$B$8,2,FALSE)</x:f>
        <x:v>종신보험</x:v>
      </x:c>
      <x:c r="O602" s="2" t="str">
        <x:v>가족 수입 보장 특약</x:v>
      </x:c>
      <x:c r="P602" s="2" t="str">
        <x:f>IF(O602="선택 안함","선택 안함",IF(O602="특약 없음","특약 없음","가입"))</x:f>
        <x:v>가입</x:v>
      </x:c>
      <x:c r="Q602" s="2" t="str">
        <x:f>IF(P602="가입","가입","미가입")</x:f>
        <x:v>가입</x:v>
      </x:c>
    </x:row>
    <x:row r="603" ht="23" customHeight="1">
      <x:c r="A603" s="2" t="str">
        <x:v>C0423</x:v>
      </x:c>
      <x:c r="B603" s="7" t="n">
        <x:v>47</x:v>
      </x:c>
      <x:c r="C603" s="2" t="str">
        <x:f>INT(B603/10)*10&amp;"대"</x:f>
        <x:v>40대</x:v>
      </x:c>
      <x:c r="D603" s="2" t="str">
        <x:v>여성</x:v>
      </x:c>
      <x:c r="E603" s="7" t="n">
        <x:v>6000</x:v>
      </x:c>
      <x:c r="F603" s="7" t="n">
        <x:v>3</x:v>
      </x:c>
      <x:c r="G603" s="2" t="str">
        <x:v>기혼</x:v>
      </x:c>
      <x:c r="H603" s="7" t="n">
        <x:v>2</x:v>
      </x:c>
      <x:c r="I603" s="2" t="str">
        <x:f>IF(H603&lt;3,H603&amp;"명","3명 이상")</x:f>
        <x:v>2명</x:v>
      </x:c>
      <x:c r="J603" s="2" t="str">
        <x:v>비흡연</x:v>
      </x:c>
      <x:c r="K603" s="2" t="str">
        <x:v>고혈압</x:v>
      </x:c>
      <x:c r="L603" s="2" t="str">
        <x:v>없음</x:v>
      </x:c>
      <x:c r="M603" s="2" t="str">
        <x:v>수호천사 우리가족 종신보험</x:v>
      </x:c>
      <x:c r="N603" s="2" t="str">
        <x:f>VLOOKUP(M603,'분류기준'!$A$5:$B$8,2,FALSE)</x:f>
        <x:v>종신보험</x:v>
      </x:c>
      <x:c r="O603" s="2" t="str">
        <x:v>가족 수입 보장 특약</x:v>
      </x:c>
      <x:c r="P603" s="2" t="str">
        <x:f>IF(O603="선택 안함","선택 안함",IF(O603="특약 없음","특약 없음","가입"))</x:f>
        <x:v>가입</x:v>
      </x:c>
      <x:c r="Q603" s="2" t="str">
        <x:f>IF(P603="가입","가입","미가입")</x:f>
        <x:v>가입</x:v>
      </x:c>
    </x:row>
    <x:row r="604" ht="23" customHeight="1">
      <x:c r="A604" s="2" t="str">
        <x:v>C0451</x:v>
      </x:c>
      <x:c r="B604" s="7" t="n">
        <x:v>47</x:v>
      </x:c>
      <x:c r="C604" s="2" t="str">
        <x:f>INT(B604/10)*10&amp;"대"</x:f>
        <x:v>40대</x:v>
      </x:c>
      <x:c r="D604" s="2" t="str">
        <x:v>남성</x:v>
      </x:c>
      <x:c r="E604" s="7" t="n">
        <x:v>6000</x:v>
      </x:c>
      <x:c r="F604" s="7" t="n">
        <x:v>1</x:v>
      </x:c>
      <x:c r="G604" s="2" t="str">
        <x:v>기혼</x:v>
      </x:c>
      <x:c r="H604" s="7" t="n">
        <x:v>1</x:v>
      </x:c>
      <x:c r="I604" s="2" t="str">
        <x:f>IF(H604&lt;3,H604&amp;"명","3명 이상")</x:f>
        <x:v>1명</x:v>
      </x:c>
      <x:c r="J604" s="2" t="str">
        <x:v>흡연</x:v>
      </x:c>
      <x:c r="K604" s="2" t="str">
        <x:v>당뇨</x:v>
      </x:c>
      <x:c r="L604" s="2" t="str">
        <x:v>없음</x:v>
      </x:c>
      <x:c r="M604" s="2" t="str">
        <x:v>수호천사 간편심사(유병자)보험</x:v>
      </x:c>
      <x:c r="N604" s="2" t="str">
        <x:f>VLOOKUP(M604,'분류기준'!$A$5:$B$8,2,FALSE)</x:f>
        <x:v>간편심사보험</x:v>
      </x:c>
      <x:c r="O604" s="2" t="str">
        <x:v>선택 안함</x:v>
      </x:c>
      <x:c r="P604" s="2" t="str">
        <x:f>IF(O604="선택 안함","선택 안함",IF(O604="특약 없음","특약 없음","가입"))</x:f>
        <x:v>선택 안함</x:v>
      </x:c>
      <x:c r="Q604" s="2" t="str">
        <x:f>IF(P604="가입","가입","미가입")</x:f>
        <x:v>미가입</x:v>
      </x:c>
    </x:row>
    <x:row r="605" ht="23" customHeight="1">
      <x:c r="A605" s="2" t="str">
        <x:v>C0483</x:v>
      </x:c>
      <x:c r="B605" s="7" t="n">
        <x:v>47</x:v>
      </x:c>
      <x:c r="C605" s="2" t="str">
        <x:f>INT(B605/10)*10&amp;"대"</x:f>
        <x:v>40대</x:v>
      </x:c>
      <x:c r="D605" s="2" t="str">
        <x:v>남성</x:v>
      </x:c>
      <x:c r="E605" s="7" t="n">
        <x:v>12000</x:v>
      </x:c>
      <x:c r="F605" s="7" t="n">
        <x:v>1</x:v>
      </x:c>
      <x:c r="G605" s="2" t="str">
        <x:v>기혼</x:v>
      </x:c>
      <x:c r="H605" s="7" t="n">
        <x:v>1</x:v>
      </x:c>
      <x:c r="I605" s="2" t="str">
        <x:f>IF(H605&lt;3,H605&amp;"명","3명 이상")</x:f>
        <x:v>1명</x:v>
      </x:c>
      <x:c r="J605" s="2" t="str">
        <x:v>비흡연</x:v>
      </x:c>
      <x:c r="K605" s="2" t="str">
        <x:v>없음</x:v>
      </x:c>
      <x:c r="L605" s="2" t="str">
        <x:v>없음</x:v>
      </x:c>
      <x:c r="M605" s="2" t="str">
        <x:v>수호천사 행복 연금보험</x:v>
      </x:c>
      <x:c r="N605" s="2" t="str">
        <x:f>VLOOKUP(M605,'분류기준'!$A$5:$B$8,2,FALSE)</x:f>
        <x:v>연금보험</x:v>
      </x:c>
      <x:c r="O605" s="2" t="str">
        <x:v>특약 없음</x:v>
      </x:c>
      <x:c r="P605" s="2" t="str">
        <x:f>IF(O605="선택 안함","선택 안함",IF(O605="특약 없음","특약 없음","가입"))</x:f>
        <x:v>특약 없음</x:v>
      </x:c>
      <x:c r="Q605" s="2" t="str">
        <x:f>IF(P605="가입","가입","미가입")</x:f>
        <x:v>미가입</x:v>
      </x:c>
    </x:row>
    <x:row r="606" ht="23" customHeight="1">
      <x:c r="A606" s="2" t="str">
        <x:v>C0562</x:v>
      </x:c>
      <x:c r="B606" s="7" t="n">
        <x:v>47</x:v>
      </x:c>
      <x:c r="C606" s="2" t="str">
        <x:f>INT(B606/10)*10&amp;"대"</x:f>
        <x:v>40대</x:v>
      </x:c>
      <x:c r="D606" s="2" t="str">
        <x:v>남성</x:v>
      </x:c>
      <x:c r="E606" s="7" t="n">
        <x:v>4000</x:v>
      </x:c>
      <x:c r="F606" s="7" t="n">
        <x:v>1</x:v>
      </x:c>
      <x:c r="G606" s="2" t="str">
        <x:v>기혼</x:v>
      </x:c>
      <x:c r="H606" s="7" t="n">
        <x:v>2</x:v>
      </x:c>
      <x:c r="I606" s="2" t="str">
        <x:f>IF(H606&lt;3,H606&amp;"명","3명 이상")</x:f>
        <x:v>2명</x:v>
      </x:c>
      <x:c r="J606" s="2" t="str">
        <x:v>흡연</x:v>
      </x:c>
      <x:c r="K606" s="2" t="str">
        <x:v>고혈압</x:v>
      </x:c>
      <x:c r="L606" s="2" t="str">
        <x:v>암</x:v>
      </x:c>
      <x:c r="M606" s="2" t="str">
        <x:v>수호천사 간편심사(유병자)보험</x:v>
      </x:c>
      <x:c r="N606" s="2" t="str">
        <x:f>VLOOKUP(M606,'분류기준'!$A$5:$B$8,2,FALSE)</x:f>
        <x:v>간편심사보험</x:v>
      </x:c>
      <x:c r="O606" s="2" t="str">
        <x:v>중증질환 산정특례 보장 특약</x:v>
      </x:c>
      <x:c r="P606" s="2" t="str">
        <x:f>IF(O606="선택 안함","선택 안함",IF(O606="특약 없음","특약 없음","가입"))</x:f>
        <x:v>가입</x:v>
      </x:c>
      <x:c r="Q606" s="2" t="str">
        <x:f>IF(P606="가입","가입","미가입")</x:f>
        <x:v>가입</x:v>
      </x:c>
    </x:row>
    <x:row r="607" ht="23" customHeight="1">
      <x:c r="A607" s="2" t="str">
        <x:v>C0630</x:v>
      </x:c>
      <x:c r="B607" s="7" t="n">
        <x:v>47</x:v>
      </x:c>
      <x:c r="C607" s="2" t="str">
        <x:f>INT(B607/10)*10&amp;"대"</x:f>
        <x:v>40대</x:v>
      </x:c>
      <x:c r="D607" s="2" t="str">
        <x:v>남성</x:v>
      </x:c>
      <x:c r="E607" s="7" t="n">
        <x:v>3000</x:v>
      </x:c>
      <x:c r="F607" s="7" t="n">
        <x:v>2</x:v>
      </x:c>
      <x:c r="G607" s="2" t="str">
        <x:v>기혼</x:v>
      </x:c>
      <x:c r="H607" s="7" t="n">
        <x:v>0</x:v>
      </x:c>
      <x:c r="I607" s="2" t="str">
        <x:f>IF(H607&lt;3,H607&amp;"명","3명 이상")</x:f>
        <x:v>0명</x:v>
      </x:c>
      <x:c r="J607" s="2" t="str">
        <x:v>흡연</x:v>
      </x:c>
      <x:c r="K607" s="2" t="str">
        <x:v>없음</x:v>
      </x:c>
      <x:c r="L607" s="2" t="str">
        <x:v>없음</x:v>
      </x:c>
      <x:c r="M607" s="2" t="str">
        <x:v>수호천사 우리가족 종신보험</x:v>
      </x:c>
      <x:c r="N607" s="2" t="str">
        <x:f>VLOOKUP(M607,'분류기준'!$A$5:$B$8,2,FALSE)</x:f>
        <x:v>종신보험</x:v>
      </x:c>
      <x:c r="O607" s="2" t="str">
        <x:v>가족 수입 보장 특약</x:v>
      </x:c>
      <x:c r="P607" s="2" t="str">
        <x:f>IF(O607="선택 안함","선택 안함",IF(O607="특약 없음","특약 없음","가입"))</x:f>
        <x:v>가입</x:v>
      </x:c>
      <x:c r="Q607" s="2" t="str">
        <x:f>IF(P607="가입","가입","미가입")</x:f>
        <x:v>가입</x:v>
      </x:c>
    </x:row>
    <x:row r="608" ht="23" customHeight="1">
      <x:c r="A608" s="2" t="str">
        <x:v>C0632</x:v>
      </x:c>
      <x:c r="B608" s="7" t="n">
        <x:v>47</x:v>
      </x:c>
      <x:c r="C608" s="2" t="str">
        <x:f>INT(B608/10)*10&amp;"대"</x:f>
        <x:v>40대</x:v>
      </x:c>
      <x:c r="D608" s="2" t="str">
        <x:v>여성</x:v>
      </x:c>
      <x:c r="E608" s="7" t="n">
        <x:v>5000</x:v>
      </x:c>
      <x:c r="F608" s="7" t="n">
        <x:v>1</x:v>
      </x:c>
      <x:c r="G608" s="2" t="str">
        <x:v>기혼</x:v>
      </x:c>
      <x:c r="H608" s="7" t="n">
        <x:v>1</x:v>
      </x:c>
      <x:c r="I608" s="2" t="str">
        <x:f>IF(H608&lt;3,H608&amp;"명","3명 이상")</x:f>
        <x:v>1명</x:v>
      </x:c>
      <x:c r="J608" s="2" t="str">
        <x:v>비흡연</x:v>
      </x:c>
      <x:c r="K608" s="2" t="str">
        <x:v>없음</x:v>
      </x:c>
      <x:c r="L608" s="2" t="str">
        <x:v>없음</x:v>
      </x:c>
      <x:c r="M608" s="2" t="str">
        <x:v>수호천사 행복 연금보험</x:v>
      </x:c>
      <x:c r="N608" s="2" t="str">
        <x:f>VLOOKUP(M608,'분류기준'!$A$5:$B$8,2,FALSE)</x:f>
        <x:v>연금보험</x:v>
      </x:c>
      <x:c r="O608" s="2" t="str">
        <x:v>특약 없음</x:v>
      </x:c>
      <x:c r="P608" s="2" t="str">
        <x:f>IF(O608="선택 안함","선택 안함",IF(O608="특약 없음","특약 없음","가입"))</x:f>
        <x:v>특약 없음</x:v>
      </x:c>
      <x:c r="Q608" s="2" t="str">
        <x:f>IF(P608="가입","가입","미가입")</x:f>
        <x:v>미가입</x:v>
      </x:c>
    </x:row>
    <x:row r="609" ht="23" customHeight="1">
      <x:c r="A609" s="2" t="str">
        <x:v>C0639</x:v>
      </x:c>
      <x:c r="B609" s="7" t="n">
        <x:v>47</x:v>
      </x:c>
      <x:c r="C609" s="2" t="str">
        <x:f>INT(B609/10)*10&amp;"대"</x:f>
        <x:v>40대</x:v>
      </x:c>
      <x:c r="D609" s="2" t="str">
        <x:v>남성</x:v>
      </x:c>
      <x:c r="E609" s="7" t="n">
        <x:v>5000</x:v>
      </x:c>
      <x:c r="F609" s="7" t="n">
        <x:v>1</x:v>
      </x:c>
      <x:c r="G609" s="2" t="str">
        <x:v>기혼</x:v>
      </x:c>
      <x:c r="H609" s="7" t="n">
        <x:v>1</x:v>
      </x:c>
      <x:c r="I609" s="2" t="str">
        <x:f>IF(H609&lt;3,H609&amp;"명","3명 이상")</x:f>
        <x:v>1명</x:v>
      </x:c>
      <x:c r="J609" s="2" t="str">
        <x:v>흡연</x:v>
      </x:c>
      <x:c r="K609" s="2" t="str">
        <x:v>고혈압</x:v>
      </x:c>
      <x:c r="L609" s="2" t="str">
        <x:v>없음</x:v>
      </x:c>
      <x:c r="M609" s="2" t="str">
        <x:v>수호천사 암/건강보험</x:v>
      </x:c>
      <x:c r="N609" s="2" t="str">
        <x:f>VLOOKUP(M609,'분류기준'!$A$5:$B$8,2,FALSE)</x:f>
        <x:v>암/건강보험</x:v>
      </x:c>
      <x:c r="O609" s="2" t="str">
        <x:v>표적항암약물허가치료 특약</x:v>
      </x:c>
      <x:c r="P609" s="2" t="str">
        <x:f>IF(O609="선택 안함","선택 안함",IF(O609="특약 없음","특약 없음","가입"))</x:f>
        <x:v>가입</x:v>
      </x:c>
      <x:c r="Q609" s="2" t="str">
        <x:f>IF(P609="가입","가입","미가입")</x:f>
        <x:v>가입</x:v>
      </x:c>
    </x:row>
    <x:row r="610" ht="23" customHeight="1">
      <x:c r="A610" s="2" t="str">
        <x:v>C0675</x:v>
      </x:c>
      <x:c r="B610" s="7" t="n">
        <x:v>47</x:v>
      </x:c>
      <x:c r="C610" s="2" t="str">
        <x:f>INT(B610/10)*10&amp;"대"</x:f>
        <x:v>40대</x:v>
      </x:c>
      <x:c r="D610" s="2" t="str">
        <x:v>여성</x:v>
      </x:c>
      <x:c r="E610" s="7" t="n">
        <x:v>5000</x:v>
      </x:c>
      <x:c r="F610" s="7" t="n">
        <x:v>2</x:v>
      </x:c>
      <x:c r="G610" s="2" t="str">
        <x:v>기혼</x:v>
      </x:c>
      <x:c r="H610" s="7" t="n">
        <x:v>1</x:v>
      </x:c>
      <x:c r="I610" s="2" t="str">
        <x:f>IF(H610&lt;3,H610&amp;"명","3명 이상")</x:f>
        <x:v>1명</x:v>
      </x:c>
      <x:c r="J610" s="2" t="str">
        <x:v>비흡연</x:v>
      </x:c>
      <x:c r="K610" s="2" t="str">
        <x:v>없음</x:v>
      </x:c>
      <x:c r="L610" s="2" t="str">
        <x:v>없음</x:v>
      </x:c>
      <x:c r="M610" s="2" t="str">
        <x:v>수호천사 우리가족 종신보험</x:v>
      </x:c>
      <x:c r="N610" s="2" t="str">
        <x:f>VLOOKUP(M610,'분류기준'!$A$5:$B$8,2,FALSE)</x:f>
        <x:v>종신보험</x:v>
      </x:c>
      <x:c r="O610" s="2" t="str">
        <x:v>가족 수입 보장 특약</x:v>
      </x:c>
      <x:c r="P610" s="2" t="str">
        <x:f>IF(O610="선택 안함","선택 안함",IF(O610="특약 없음","특약 없음","가입"))</x:f>
        <x:v>가입</x:v>
      </x:c>
      <x:c r="Q610" s="2" t="str">
        <x:f>IF(P610="가입","가입","미가입")</x:f>
        <x:v>가입</x:v>
      </x:c>
    </x:row>
    <x:row r="611" ht="23" customHeight="1">
      <x:c r="A611" s="2" t="str">
        <x:v>C0677</x:v>
      </x:c>
      <x:c r="B611" s="7" t="n">
        <x:v>47</x:v>
      </x:c>
      <x:c r="C611" s="2" t="str">
        <x:f>INT(B611/10)*10&amp;"대"</x:f>
        <x:v>40대</x:v>
      </x:c>
      <x:c r="D611" s="2" t="str">
        <x:v>남성</x:v>
      </x:c>
      <x:c r="E611" s="7" t="n">
        <x:v>3000</x:v>
      </x:c>
      <x:c r="F611" s="7" t="n">
        <x:v>2</x:v>
      </x:c>
      <x:c r="G611" s="2" t="str">
        <x:v>기혼</x:v>
      </x:c>
      <x:c r="H611" s="7" t="n">
        <x:v>2</x:v>
      </x:c>
      <x:c r="I611" s="2" t="str">
        <x:f>IF(H611&lt;3,H611&amp;"명","3명 이상")</x:f>
        <x:v>2명</x:v>
      </x:c>
      <x:c r="J611" s="2" t="str">
        <x:v>비흡연</x:v>
      </x:c>
      <x:c r="K611" s="2" t="str">
        <x:v>없음</x:v>
      </x:c>
      <x:c r="L611" s="2" t="str">
        <x:v>없음</x:v>
      </x:c>
      <x:c r="M611" s="2" t="str">
        <x:v>수호천사 암/건강보험</x:v>
      </x:c>
      <x:c r="N611" s="2" t="str">
        <x:f>VLOOKUP(M611,'분류기준'!$A$5:$B$8,2,FALSE)</x:f>
        <x:v>암/건강보험</x:v>
      </x:c>
      <x:c r="O611" s="2" t="str">
        <x:v>선택 안함</x:v>
      </x:c>
      <x:c r="P611" s="2" t="str">
        <x:f>IF(O611="선택 안함","선택 안함",IF(O611="특약 없음","특약 없음","가입"))</x:f>
        <x:v>선택 안함</x:v>
      </x:c>
      <x:c r="Q611" s="2" t="str">
        <x:f>IF(P611="가입","가입","미가입")</x:f>
        <x:v>미가입</x:v>
      </x:c>
    </x:row>
    <x:row r="612" ht="23" customHeight="1">
      <x:c r="A612" s="2" t="str">
        <x:v>C0681</x:v>
      </x:c>
      <x:c r="B612" s="7" t="n">
        <x:v>47</x:v>
      </x:c>
      <x:c r="C612" s="2" t="str">
        <x:f>INT(B612/10)*10&amp;"대"</x:f>
        <x:v>40대</x:v>
      </x:c>
      <x:c r="D612" s="2" t="str">
        <x:v>남성</x:v>
      </x:c>
      <x:c r="E612" s="7" t="n">
        <x:v>3000</x:v>
      </x:c>
      <x:c r="F612" s="7" t="n">
        <x:v>3</x:v>
      </x:c>
      <x:c r="G612" s="2" t="str">
        <x:v>기혼</x:v>
      </x:c>
      <x:c r="H612" s="7" t="n">
        <x:v>1</x:v>
      </x:c>
      <x:c r="I612" s="2" t="str">
        <x:f>IF(H612&lt;3,H612&amp;"명","3명 이상")</x:f>
        <x:v>1명</x:v>
      </x:c>
      <x:c r="J612" s="2" t="str">
        <x:v>비흡연</x:v>
      </x:c>
      <x:c r="K612" s="2" t="str">
        <x:v>없음</x:v>
      </x:c>
      <x:c r="L612" s="2" t="str">
        <x:v>없음</x:v>
      </x:c>
      <x:c r="M612" s="2" t="str">
        <x:v>수호천사 우리가족 종신보험</x:v>
      </x:c>
      <x:c r="N612" s="2" t="str">
        <x:f>VLOOKUP(M612,'분류기준'!$A$5:$B$8,2,FALSE)</x:f>
        <x:v>종신보험</x:v>
      </x:c>
      <x:c r="O612" s="2" t="str">
        <x:v>가족 수입 보장 특약</x:v>
      </x:c>
      <x:c r="P612" s="2" t="str">
        <x:f>IF(O612="선택 안함","선택 안함",IF(O612="특약 없음","특약 없음","가입"))</x:f>
        <x:v>가입</x:v>
      </x:c>
      <x:c r="Q612" s="2" t="str">
        <x:f>IF(P612="가입","가입","미가입")</x:f>
        <x:v>가입</x:v>
      </x:c>
    </x:row>
    <x:row r="613" ht="23" customHeight="1">
      <x:c r="A613" s="2" t="str">
        <x:v>C0682</x:v>
      </x:c>
      <x:c r="B613" s="7" t="n">
        <x:v>47</x:v>
      </x:c>
      <x:c r="C613" s="2" t="str">
        <x:f>INT(B613/10)*10&amp;"대"</x:f>
        <x:v>40대</x:v>
      </x:c>
      <x:c r="D613" s="2" t="str">
        <x:v>여성</x:v>
      </x:c>
      <x:c r="E613" s="7" t="n">
        <x:v>7500</x:v>
      </x:c>
      <x:c r="F613" s="7" t="n">
        <x:v>2</x:v>
      </x:c>
      <x:c r="G613" s="2" t="str">
        <x:v>기혼</x:v>
      </x:c>
      <x:c r="H613" s="7" t="n">
        <x:v>1</x:v>
      </x:c>
      <x:c r="I613" s="2" t="str">
        <x:f>IF(H613&lt;3,H613&amp;"명","3명 이상")</x:f>
        <x:v>1명</x:v>
      </x:c>
      <x:c r="J613" s="2" t="str">
        <x:v>비흡연</x:v>
      </x:c>
      <x:c r="K613" s="2" t="str">
        <x:v>고혈압</x:v>
      </x:c>
      <x:c r="L613" s="2" t="str">
        <x:v>없음</x:v>
      </x:c>
      <x:c r="M613" s="2" t="str">
        <x:v>수호천사 간편심사(유병자)보험</x:v>
      </x:c>
      <x:c r="N613" s="2" t="str">
        <x:f>VLOOKUP(M613,'분류기준'!$A$5:$B$8,2,FALSE)</x:f>
        <x:v>간편심사보험</x:v>
      </x:c>
      <x:c r="O613" s="2" t="str">
        <x:v>선택 안함</x:v>
      </x:c>
      <x:c r="P613" s="2" t="str">
        <x:f>IF(O613="선택 안함","선택 안함",IF(O613="특약 없음","특약 없음","가입"))</x:f>
        <x:v>선택 안함</x:v>
      </x:c>
      <x:c r="Q613" s="2" t="str">
        <x:f>IF(P613="가입","가입","미가입")</x:f>
        <x:v>미가입</x:v>
      </x:c>
    </x:row>
    <x:row r="614" ht="23" customHeight="1">
      <x:c r="A614" s="2" t="str">
        <x:v>C0692</x:v>
      </x:c>
      <x:c r="B614" s="7" t="n">
        <x:v>47</x:v>
      </x:c>
      <x:c r="C614" s="2" t="str">
        <x:f>INT(B614/10)*10&amp;"대"</x:f>
        <x:v>40대</x:v>
      </x:c>
      <x:c r="D614" s="2" t="str">
        <x:v>남성</x:v>
      </x:c>
      <x:c r="E614" s="7" t="n">
        <x:v>5000</x:v>
      </x:c>
      <x:c r="F614" s="7" t="n">
        <x:v>1</x:v>
      </x:c>
      <x:c r="G614" s="2" t="str">
        <x:v>기혼</x:v>
      </x:c>
      <x:c r="H614" s="7" t="n">
        <x:v>1</x:v>
      </x:c>
      <x:c r="I614" s="2" t="str">
        <x:f>IF(H614&lt;3,H614&amp;"명","3명 이상")</x:f>
        <x:v>1명</x:v>
      </x:c>
      <x:c r="J614" s="2" t="str">
        <x:v>비흡연</x:v>
      </x:c>
      <x:c r="K614" s="2" t="str">
        <x:v>없음</x:v>
      </x:c>
      <x:c r="L614" s="2" t="str">
        <x:v>심혈관</x:v>
      </x:c>
      <x:c r="M614" s="2" t="str">
        <x:v>수호천사 우리가족 종신보험</x:v>
      </x:c>
      <x:c r="N614" s="2" t="str">
        <x:f>VLOOKUP(M614,'분류기준'!$A$5:$B$8,2,FALSE)</x:f>
        <x:v>종신보험</x:v>
      </x:c>
      <x:c r="O614" s="2" t="str">
        <x:v>가족 수입 보장 특약</x:v>
      </x:c>
      <x:c r="P614" s="2" t="str">
        <x:f>IF(O614="선택 안함","선택 안함",IF(O614="특약 없음","특약 없음","가입"))</x:f>
        <x:v>가입</x:v>
      </x:c>
      <x:c r="Q614" s="2" t="str">
        <x:f>IF(P614="가입","가입","미가입")</x:f>
        <x:v>가입</x:v>
      </x:c>
    </x:row>
    <x:row r="615" ht="23" customHeight="1">
      <x:c r="A615" s="2" t="str">
        <x:v>C0724</x:v>
      </x:c>
      <x:c r="B615" s="7" t="n">
        <x:v>47</x:v>
      </x:c>
      <x:c r="C615" s="2" t="str">
        <x:f>INT(B615/10)*10&amp;"대"</x:f>
        <x:v>40대</x:v>
      </x:c>
      <x:c r="D615" s="2" t="str">
        <x:v>여성</x:v>
      </x:c>
      <x:c r="E615" s="7" t="n">
        <x:v>6000</x:v>
      </x:c>
      <x:c r="F615" s="7" t="n">
        <x:v>1</x:v>
      </x:c>
      <x:c r="G615" s="2" t="str">
        <x:v>기혼</x:v>
      </x:c>
      <x:c r="H615" s="7" t="n">
        <x:v>1</x:v>
      </x:c>
      <x:c r="I615" s="2" t="str">
        <x:f>IF(H615&lt;3,H615&amp;"명","3명 이상")</x:f>
        <x:v>1명</x:v>
      </x:c>
      <x:c r="J615" s="2" t="str">
        <x:v>비흡연</x:v>
      </x:c>
      <x:c r="K615" s="2" t="str">
        <x:v>고혈압</x:v>
      </x:c>
      <x:c r="L615" s="2" t="str">
        <x:v>암</x:v>
      </x:c>
      <x:c r="M615" s="2" t="str">
        <x:v>수호천사 간편심사(유병자)보험</x:v>
      </x:c>
      <x:c r="N615" s="2" t="str">
        <x:f>VLOOKUP(M615,'분류기준'!$A$5:$B$8,2,FALSE)</x:f>
        <x:v>간편심사보험</x:v>
      </x:c>
      <x:c r="O615" s="2" t="str">
        <x:v>중증질환 산정특례 보장 특약</x:v>
      </x:c>
      <x:c r="P615" s="2" t="str">
        <x:f>IF(O615="선택 안함","선택 안함",IF(O615="특약 없음","특약 없음","가입"))</x:f>
        <x:v>가입</x:v>
      </x:c>
      <x:c r="Q615" s="2" t="str">
        <x:f>IF(P615="가입","가입","미가입")</x:f>
        <x:v>가입</x:v>
      </x:c>
    </x:row>
    <x:row r="616" ht="23" customHeight="1">
      <x:c r="A616" s="2" t="str">
        <x:v>C0750</x:v>
      </x:c>
      <x:c r="B616" s="7" t="n">
        <x:v>47</x:v>
      </x:c>
      <x:c r="C616" s="2" t="str">
        <x:f>INT(B616/10)*10&amp;"대"</x:f>
        <x:v>40대</x:v>
      </x:c>
      <x:c r="D616" s="2" t="str">
        <x:v>여성</x:v>
      </x:c>
      <x:c r="E616" s="7" t="n">
        <x:v>5000</x:v>
      </x:c>
      <x:c r="F616" s="7" t="n">
        <x:v>1</x:v>
      </x:c>
      <x:c r="G616" s="2" t="str">
        <x:v>기혼</x:v>
      </x:c>
      <x:c r="H616" s="7" t="n">
        <x:v>1</x:v>
      </x:c>
      <x:c r="I616" s="2" t="str">
        <x:f>IF(H616&lt;3,H616&amp;"명","3명 이상")</x:f>
        <x:v>1명</x:v>
      </x:c>
      <x:c r="J616" s="2" t="str">
        <x:v>비흡연</x:v>
      </x:c>
      <x:c r="K616" s="2" t="str">
        <x:v>없음</x:v>
      </x:c>
      <x:c r="L616" s="2" t="str">
        <x:v>심혈관</x:v>
      </x:c>
      <x:c r="M616" s="2" t="str">
        <x:v>수호천사 암/건강보험</x:v>
      </x:c>
      <x:c r="N616" s="2" t="str">
        <x:f>VLOOKUP(M616,'분류기준'!$A$5:$B$8,2,FALSE)</x:f>
        <x:v>암/건강보험</x:v>
      </x:c>
      <x:c r="O616" s="2" t="str">
        <x:v>표적항암약물허가치료 특약</x:v>
      </x:c>
      <x:c r="P616" s="2" t="str">
        <x:f>IF(O616="선택 안함","선택 안함",IF(O616="특약 없음","특약 없음","가입"))</x:f>
        <x:v>가입</x:v>
      </x:c>
      <x:c r="Q616" s="2" t="str">
        <x:f>IF(P616="가입","가입","미가입")</x:f>
        <x:v>가입</x:v>
      </x:c>
    </x:row>
    <x:row r="617" ht="23" customHeight="1">
      <x:c r="A617" s="2" t="str">
        <x:v>C0825</x:v>
      </x:c>
      <x:c r="B617" s="7" t="n">
        <x:v>47</x:v>
      </x:c>
      <x:c r="C617" s="2" t="str">
        <x:f>INT(B617/10)*10&amp;"대"</x:f>
        <x:v>40대</x:v>
      </x:c>
      <x:c r="D617" s="2" t="str">
        <x:v>남성</x:v>
      </x:c>
      <x:c r="E617" s="7" t="n">
        <x:v>6000</x:v>
      </x:c>
      <x:c r="F617" s="7" t="n">
        <x:v>2</x:v>
      </x:c>
      <x:c r="G617" s="2" t="str">
        <x:v>기혼</x:v>
      </x:c>
      <x:c r="H617" s="7" t="n">
        <x:v>1</x:v>
      </x:c>
      <x:c r="I617" s="2" t="str">
        <x:f>IF(H617&lt;3,H617&amp;"명","3명 이상")</x:f>
        <x:v>1명</x:v>
      </x:c>
      <x:c r="J617" s="2" t="str">
        <x:v>흡연</x:v>
      </x:c>
      <x:c r="K617" s="2" t="str">
        <x:v>당뇨</x:v>
      </x:c>
      <x:c r="L617" s="2" t="str">
        <x:v>심혈관</x:v>
      </x:c>
      <x:c r="M617" s="2" t="str">
        <x:v>수호천사 간편심사(유병자)보험</x:v>
      </x:c>
      <x:c r="N617" s="2" t="str">
        <x:f>VLOOKUP(M617,'분류기준'!$A$5:$B$8,2,FALSE)</x:f>
        <x:v>간편심사보험</x:v>
      </x:c>
      <x:c r="O617" s="2" t="str">
        <x:v>중증질환 산정특례 보장 특약</x:v>
      </x:c>
      <x:c r="P617" s="2" t="str">
        <x:f>IF(O617="선택 안함","선택 안함",IF(O617="특약 없음","특약 없음","가입"))</x:f>
        <x:v>가입</x:v>
      </x:c>
      <x:c r="Q617" s="2" t="str">
        <x:f>IF(P617="가입","가입","미가입")</x:f>
        <x:v>가입</x:v>
      </x:c>
    </x:row>
    <x:row r="618" ht="23" customHeight="1">
      <x:c r="A618" s="2" t="str">
        <x:v>C0856</x:v>
      </x:c>
      <x:c r="B618" s="7" t="n">
        <x:v>47</x:v>
      </x:c>
      <x:c r="C618" s="2" t="str">
        <x:f>INT(B618/10)*10&amp;"대"</x:f>
        <x:v>40대</x:v>
      </x:c>
      <x:c r="D618" s="2" t="str">
        <x:v>남성</x:v>
      </x:c>
      <x:c r="E618" s="7" t="n">
        <x:v>4000</x:v>
      </x:c>
      <x:c r="F618" s="7" t="n">
        <x:v>1</x:v>
      </x:c>
      <x:c r="G618" s="2" t="str">
        <x:v>기혼</x:v>
      </x:c>
      <x:c r="H618" s="7" t="n">
        <x:v>2</x:v>
      </x:c>
      <x:c r="I618" s="2" t="str">
        <x:f>IF(H618&lt;3,H618&amp;"명","3명 이상")</x:f>
        <x:v>2명</x:v>
      </x:c>
      <x:c r="J618" s="2" t="str">
        <x:v>비흡연</x:v>
      </x:c>
      <x:c r="K618" s="2" t="str">
        <x:v>고혈압</x:v>
      </x:c>
      <x:c r="L618" s="2" t="str">
        <x:v>없음</x:v>
      </x:c>
      <x:c r="M618" s="2" t="str">
        <x:v>수호천사 간편심사(유병자)보험</x:v>
      </x:c>
      <x:c r="N618" s="2" t="str">
        <x:f>VLOOKUP(M618,'분류기준'!$A$5:$B$8,2,FALSE)</x:f>
        <x:v>간편심사보험</x:v>
      </x:c>
      <x:c r="O618" s="2" t="str">
        <x:v>중증질환 산정특례 보장 특약</x:v>
      </x:c>
      <x:c r="P618" s="2" t="str">
        <x:f>IF(O618="선택 안함","선택 안함",IF(O618="특약 없음","특약 없음","가입"))</x:f>
        <x:v>가입</x:v>
      </x:c>
      <x:c r="Q618" s="2" t="str">
        <x:f>IF(P618="가입","가입","미가입")</x:f>
        <x:v>가입</x:v>
      </x:c>
    </x:row>
    <x:row r="619" ht="23" customHeight="1">
      <x:c r="A619" s="2" t="str">
        <x:v>C0876</x:v>
      </x:c>
      <x:c r="B619" s="7" t="n">
        <x:v>47</x:v>
      </x:c>
      <x:c r="C619" s="2" t="str">
        <x:f>INT(B619/10)*10&amp;"대"</x:f>
        <x:v>40대</x:v>
      </x:c>
      <x:c r="D619" s="2" t="str">
        <x:v>여성</x:v>
      </x:c>
      <x:c r="E619" s="7" t="n">
        <x:v>7500</x:v>
      </x:c>
      <x:c r="F619" s="7" t="n">
        <x:v>2</x:v>
      </x:c>
      <x:c r="G619" s="2" t="str">
        <x:v>기혼</x:v>
      </x:c>
      <x:c r="H619" s="7" t="n">
        <x:v>1</x:v>
      </x:c>
      <x:c r="I619" s="2" t="str">
        <x:f>IF(H619&lt;3,H619&amp;"명","3명 이상")</x:f>
        <x:v>1명</x:v>
      </x:c>
      <x:c r="J619" s="2" t="str">
        <x:v>비흡연</x:v>
      </x:c>
      <x:c r="K619" s="2" t="str">
        <x:v>없음</x:v>
      </x:c>
      <x:c r="L619" s="2" t="str">
        <x:v>암</x:v>
      </x:c>
      <x:c r="M619" s="2" t="str">
        <x:v>수호천사 우리가족 종신보험</x:v>
      </x:c>
      <x:c r="N619" s="2" t="str">
        <x:f>VLOOKUP(M619,'분류기준'!$A$5:$B$8,2,FALSE)</x:f>
        <x:v>종신보험</x:v>
      </x:c>
      <x:c r="O619" s="2" t="str">
        <x:v>가족 수입 보장 특약</x:v>
      </x:c>
      <x:c r="P619" s="2" t="str">
        <x:f>IF(O619="선택 안함","선택 안함",IF(O619="특약 없음","특약 없음","가입"))</x:f>
        <x:v>가입</x:v>
      </x:c>
      <x:c r="Q619" s="2" t="str">
        <x:f>IF(P619="가입","가입","미가입")</x:f>
        <x:v>가입</x:v>
      </x:c>
    </x:row>
    <x:row r="620" ht="23" customHeight="1">
      <x:c r="A620" s="2" t="str">
        <x:v>C0933</x:v>
      </x:c>
      <x:c r="B620" s="7" t="n">
        <x:v>47</x:v>
      </x:c>
      <x:c r="C620" s="2" t="str">
        <x:f>INT(B620/10)*10&amp;"대"</x:f>
        <x:v>40대</x:v>
      </x:c>
      <x:c r="D620" s="2" t="str">
        <x:v>남성</x:v>
      </x:c>
      <x:c r="E620" s="7" t="n">
        <x:v>5000</x:v>
      </x:c>
      <x:c r="F620" s="7" t="n">
        <x:v>1</x:v>
      </x:c>
      <x:c r="G620" s="2" t="str">
        <x:v>기혼</x:v>
      </x:c>
      <x:c r="H620" s="7" t="n">
        <x:v>2</x:v>
      </x:c>
      <x:c r="I620" s="2" t="str">
        <x:f>IF(H620&lt;3,H620&amp;"명","3명 이상")</x:f>
        <x:v>2명</x:v>
      </x:c>
      <x:c r="J620" s="2" t="str">
        <x:v>비흡연</x:v>
      </x:c>
      <x:c r="K620" s="2" t="str">
        <x:v>없음</x:v>
      </x:c>
      <x:c r="L620" s="2" t="str">
        <x:v>없음</x:v>
      </x:c>
      <x:c r="M620" s="2" t="str">
        <x:v>수호천사 우리가족 종신보험</x:v>
      </x:c>
      <x:c r="N620" s="2" t="str">
        <x:f>VLOOKUP(M620,'분류기준'!$A$5:$B$8,2,FALSE)</x:f>
        <x:v>종신보험</x:v>
      </x:c>
      <x:c r="O620" s="2" t="str">
        <x:v>가족 수입 보장 특약</x:v>
      </x:c>
      <x:c r="P620" s="2" t="str">
        <x:f>IF(O620="선택 안함","선택 안함",IF(O620="특약 없음","특약 없음","가입"))</x:f>
        <x:v>가입</x:v>
      </x:c>
      <x:c r="Q620" s="2" t="str">
        <x:f>IF(P620="가입","가입","미가입")</x:f>
        <x:v>가입</x:v>
      </x:c>
    </x:row>
    <x:row r="621" ht="23" customHeight="1">
      <x:c r="A621" s="2" t="str">
        <x:v>C0002</x:v>
      </x:c>
      <x:c r="B621" s="7" t="n">
        <x:v>48</x:v>
      </x:c>
      <x:c r="C621" s="2" t="str">
        <x:f>INT(B621/10)*10&amp;"대"</x:f>
        <x:v>40대</x:v>
      </x:c>
      <x:c r="D621" s="2" t="str">
        <x:v>남성</x:v>
      </x:c>
      <x:c r="E621" s="7" t="n">
        <x:v>6000</x:v>
      </x:c>
      <x:c r="F621" s="7" t="n">
        <x:v>1</x:v>
      </x:c>
      <x:c r="G621" s="2" t="str">
        <x:v>기혼</x:v>
      </x:c>
      <x:c r="H621" s="7" t="n">
        <x:v>0</x:v>
      </x:c>
      <x:c r="I621" s="2" t="str">
        <x:f>IF(H621&lt;3,H621&amp;"명","3명 이상")</x:f>
        <x:v>0명</x:v>
      </x:c>
      <x:c r="J621" s="2" t="str">
        <x:v>비흡연</x:v>
      </x:c>
      <x:c r="K621" s="2" t="str">
        <x:v>없음</x:v>
      </x:c>
      <x:c r="L621" s="2" t="str">
        <x:v>없음</x:v>
      </x:c>
      <x:c r="M621" s="2" t="str">
        <x:v>수호천사 간편심사(유병자)보험</x:v>
      </x:c>
      <x:c r="N621" s="2" t="str">
        <x:f>VLOOKUP(M621,'분류기준'!$A$5:$B$8,2,FALSE)</x:f>
        <x:v>간편심사보험</x:v>
      </x:c>
      <x:c r="O621" s="2" t="str">
        <x:v>선택 안함</x:v>
      </x:c>
      <x:c r="P621" s="2" t="str">
        <x:f>IF(O621="선택 안함","선택 안함",IF(O621="특약 없음","특약 없음","가입"))</x:f>
        <x:v>선택 안함</x:v>
      </x:c>
      <x:c r="Q621" s="2" t="str">
        <x:f>IF(P621="가입","가입","미가입")</x:f>
        <x:v>미가입</x:v>
      </x:c>
    </x:row>
    <x:row r="622" ht="23" customHeight="1">
      <x:c r="A622" s="2" t="str">
        <x:v>C0064</x:v>
      </x:c>
      <x:c r="B622" s="7" t="n">
        <x:v>48</x:v>
      </x:c>
      <x:c r="C622" s="2" t="str">
        <x:f>INT(B622/10)*10&amp;"대"</x:f>
        <x:v>40대</x:v>
      </x:c>
      <x:c r="D622" s="2" t="str">
        <x:v>남성</x:v>
      </x:c>
      <x:c r="E622" s="7" t="n">
        <x:v>4000</x:v>
      </x:c>
      <x:c r="F622" s="7" t="n">
        <x:v>1</x:v>
      </x:c>
      <x:c r="G622" s="2" t="str">
        <x:v>기혼</x:v>
      </x:c>
      <x:c r="H622" s="7" t="n">
        <x:v>2</x:v>
      </x:c>
      <x:c r="I622" s="2" t="str">
        <x:f>IF(H622&lt;3,H622&amp;"명","3명 이상")</x:f>
        <x:v>2명</x:v>
      </x:c>
      <x:c r="J622" s="2" t="str">
        <x:v>비흡연</x:v>
      </x:c>
      <x:c r="K622" s="2" t="str">
        <x:v>없음</x:v>
      </x:c>
      <x:c r="L622" s="2" t="str">
        <x:v>암</x:v>
      </x:c>
      <x:c r="M622" s="2" t="str">
        <x:v>수호천사 우리가족 종신보험</x:v>
      </x:c>
      <x:c r="N622" s="2" t="str">
        <x:f>VLOOKUP(M622,'분류기준'!$A$5:$B$8,2,FALSE)</x:f>
        <x:v>종신보험</x:v>
      </x:c>
      <x:c r="O622" s="2" t="str">
        <x:v>선택 안함</x:v>
      </x:c>
      <x:c r="P622" s="2" t="str">
        <x:f>IF(O622="선택 안함","선택 안함",IF(O622="특약 없음","특약 없음","가입"))</x:f>
        <x:v>선택 안함</x:v>
      </x:c>
      <x:c r="Q622" s="2" t="str">
        <x:f>IF(P622="가입","가입","미가입")</x:f>
        <x:v>미가입</x:v>
      </x:c>
    </x:row>
    <x:row r="623" ht="23" customHeight="1">
      <x:c r="A623" s="2" t="str">
        <x:v>C0087</x:v>
      </x:c>
      <x:c r="B623" s="7" t="n">
        <x:v>48</x:v>
      </x:c>
      <x:c r="C623" s="2" t="str">
        <x:f>INT(B623/10)*10&amp;"대"</x:f>
        <x:v>40대</x:v>
      </x:c>
      <x:c r="D623" s="2" t="str">
        <x:v>남성</x:v>
      </x:c>
      <x:c r="E623" s="7" t="n">
        <x:v>5000</x:v>
      </x:c>
      <x:c r="F623" s="7" t="n">
        <x:v>1</x:v>
      </x:c>
      <x:c r="G623" s="2" t="str">
        <x:v>기혼</x:v>
      </x:c>
      <x:c r="H623" s="7" t="n">
        <x:v>2</x:v>
      </x:c>
      <x:c r="I623" s="2" t="str">
        <x:f>IF(H623&lt;3,H623&amp;"명","3명 이상")</x:f>
        <x:v>2명</x:v>
      </x:c>
      <x:c r="J623" s="2" t="str">
        <x:v>비흡연</x:v>
      </x:c>
      <x:c r="K623" s="2" t="str">
        <x:v>없음</x:v>
      </x:c>
      <x:c r="L623" s="2" t="str">
        <x:v>암</x:v>
      </x:c>
      <x:c r="M623" s="2" t="str">
        <x:v>수호천사 우리가족 종신보험</x:v>
      </x:c>
      <x:c r="N623" s="2" t="str">
        <x:f>VLOOKUP(M623,'분류기준'!$A$5:$B$8,2,FALSE)</x:f>
        <x:v>종신보험</x:v>
      </x:c>
      <x:c r="O623" s="2" t="str">
        <x:v>가족 수입 보장 특약</x:v>
      </x:c>
      <x:c r="P623" s="2" t="str">
        <x:f>IF(O623="선택 안함","선택 안함",IF(O623="특약 없음","특약 없음","가입"))</x:f>
        <x:v>가입</x:v>
      </x:c>
      <x:c r="Q623" s="2" t="str">
        <x:f>IF(P623="가입","가입","미가입")</x:f>
        <x:v>가입</x:v>
      </x:c>
    </x:row>
    <x:row r="624" ht="23" customHeight="1">
      <x:c r="A624" s="2" t="str">
        <x:v>C0153</x:v>
      </x:c>
      <x:c r="B624" s="7" t="n">
        <x:v>48</x:v>
      </x:c>
      <x:c r="C624" s="2" t="str">
        <x:f>INT(B624/10)*10&amp;"대"</x:f>
        <x:v>40대</x:v>
      </x:c>
      <x:c r="D624" s="2" t="str">
        <x:v>여성</x:v>
      </x:c>
      <x:c r="E624" s="7" t="n">
        <x:v>6000</x:v>
      </x:c>
      <x:c r="F624" s="7" t="n">
        <x:v>2</x:v>
      </x:c>
      <x:c r="G624" s="2" t="str">
        <x:v>기혼</x:v>
      </x:c>
      <x:c r="H624" s="7" t="n">
        <x:v>0</x:v>
      </x:c>
      <x:c r="I624" s="2" t="str">
        <x:f>IF(H624&lt;3,H624&amp;"명","3명 이상")</x:f>
        <x:v>0명</x:v>
      </x:c>
      <x:c r="J624" s="2" t="str">
        <x:v>비흡연</x:v>
      </x:c>
      <x:c r="K624" s="2" t="str">
        <x:v>고혈압</x:v>
      </x:c>
      <x:c r="L624" s="2" t="str">
        <x:v>암</x:v>
      </x:c>
      <x:c r="M624" s="2" t="str">
        <x:v>수호천사 암/건강보험</x:v>
      </x:c>
      <x:c r="N624" s="2" t="str">
        <x:f>VLOOKUP(M624,'분류기준'!$A$5:$B$8,2,FALSE)</x:f>
        <x:v>암/건강보험</x:v>
      </x:c>
      <x:c r="O624" s="2" t="str">
        <x:v>수술비 보장 특약</x:v>
      </x:c>
      <x:c r="P624" s="2" t="str">
        <x:f>IF(O624="선택 안함","선택 안함",IF(O624="특약 없음","특약 없음","가입"))</x:f>
        <x:v>가입</x:v>
      </x:c>
      <x:c r="Q624" s="2" t="str">
        <x:f>IF(P624="가입","가입","미가입")</x:f>
        <x:v>가입</x:v>
      </x:c>
    </x:row>
    <x:row r="625" ht="23" customHeight="1">
      <x:c r="A625" s="2" t="str">
        <x:v>C0231</x:v>
      </x:c>
      <x:c r="B625" s="7" t="n">
        <x:v>48</x:v>
      </x:c>
      <x:c r="C625" s="2" t="str">
        <x:f>INT(B625/10)*10&amp;"대"</x:f>
        <x:v>40대</x:v>
      </x:c>
      <x:c r="D625" s="2" t="str">
        <x:v>여성</x:v>
      </x:c>
      <x:c r="E625" s="7" t="n">
        <x:v>6000</x:v>
      </x:c>
      <x:c r="F625" s="7" t="n">
        <x:v>2</x:v>
      </x:c>
      <x:c r="G625" s="2" t="str">
        <x:v>기혼</x:v>
      </x:c>
      <x:c r="H625" s="7" t="n">
        <x:v>1</x:v>
      </x:c>
      <x:c r="I625" s="2" t="str">
        <x:f>IF(H625&lt;3,H625&amp;"명","3명 이상")</x:f>
        <x:v>1명</x:v>
      </x:c>
      <x:c r="J625" s="2" t="str">
        <x:v>비흡연</x:v>
      </x:c>
      <x:c r="K625" s="2" t="str">
        <x:v>없음</x:v>
      </x:c>
      <x:c r="L625" s="2" t="str">
        <x:v>없음</x:v>
      </x:c>
      <x:c r="M625" s="2" t="str">
        <x:v>수호천사 우리가족 종신보험</x:v>
      </x:c>
      <x:c r="N625" s="2" t="str">
        <x:f>VLOOKUP(M625,'분류기준'!$A$5:$B$8,2,FALSE)</x:f>
        <x:v>종신보험</x:v>
      </x:c>
      <x:c r="O625" s="2" t="str">
        <x:v>가족 수입 보장 특약</x:v>
      </x:c>
      <x:c r="P625" s="2" t="str">
        <x:f>IF(O625="선택 안함","선택 안함",IF(O625="특약 없음","특약 없음","가입"))</x:f>
        <x:v>가입</x:v>
      </x:c>
      <x:c r="Q625" s="2" t="str">
        <x:f>IF(P625="가입","가입","미가입")</x:f>
        <x:v>가입</x:v>
      </x:c>
    </x:row>
    <x:row r="626" ht="23" customHeight="1">
      <x:c r="A626" s="2" t="str">
        <x:v>C0286</x:v>
      </x:c>
      <x:c r="B626" s="7" t="n">
        <x:v>48</x:v>
      </x:c>
      <x:c r="C626" s="2" t="str">
        <x:f>INT(B626/10)*10&amp;"대"</x:f>
        <x:v>40대</x:v>
      </x:c>
      <x:c r="D626" s="2" t="str">
        <x:v>여성</x:v>
      </x:c>
      <x:c r="E626" s="7" t="n">
        <x:v>3000</x:v>
      </x:c>
      <x:c r="F626" s="7" t="n">
        <x:v>1</x:v>
      </x:c>
      <x:c r="G626" s="2" t="str">
        <x:v>기혼</x:v>
      </x:c>
      <x:c r="H626" s="7" t="n">
        <x:v>0</x:v>
      </x:c>
      <x:c r="I626" s="2" t="str">
        <x:f>IF(H626&lt;3,H626&amp;"명","3명 이상")</x:f>
        <x:v>0명</x:v>
      </x:c>
      <x:c r="J626" s="2" t="str">
        <x:v>비흡연</x:v>
      </x:c>
      <x:c r="K626" s="2" t="str">
        <x:v>없음</x:v>
      </x:c>
      <x:c r="L626" s="2" t="str">
        <x:v>심혈관</x:v>
      </x:c>
      <x:c r="M626" s="2" t="str">
        <x:v>수호천사 암/건강보험</x:v>
      </x:c>
      <x:c r="N626" s="2" t="str">
        <x:f>VLOOKUP(M626,'분류기준'!$A$5:$B$8,2,FALSE)</x:f>
        <x:v>암/건강보험</x:v>
      </x:c>
      <x:c r="O626" s="2" t="str">
        <x:v>표적항암약물허가치료 특약</x:v>
      </x:c>
      <x:c r="P626" s="2" t="str">
        <x:f>IF(O626="선택 안함","선택 안함",IF(O626="특약 없음","특약 없음","가입"))</x:f>
        <x:v>가입</x:v>
      </x:c>
      <x:c r="Q626" s="2" t="str">
        <x:f>IF(P626="가입","가입","미가입")</x:f>
        <x:v>가입</x:v>
      </x:c>
    </x:row>
    <x:row r="627" ht="23" customHeight="1">
      <x:c r="A627" s="2" t="str">
        <x:v>C0331</x:v>
      </x:c>
      <x:c r="B627" s="7" t="n">
        <x:v>48</x:v>
      </x:c>
      <x:c r="C627" s="2" t="str">
        <x:f>INT(B627/10)*10&amp;"대"</x:f>
        <x:v>40대</x:v>
      </x:c>
      <x:c r="D627" s="2" t="str">
        <x:v>남성</x:v>
      </x:c>
      <x:c r="E627" s="7" t="n">
        <x:v>6000</x:v>
      </x:c>
      <x:c r="F627" s="7" t="n">
        <x:v>1</x:v>
      </x:c>
      <x:c r="G627" s="2" t="str">
        <x:v>기혼</x:v>
      </x:c>
      <x:c r="H627" s="7" t="n">
        <x:v>0</x:v>
      </x:c>
      <x:c r="I627" s="2" t="str">
        <x:f>IF(H627&lt;3,H627&amp;"명","3명 이상")</x:f>
        <x:v>0명</x:v>
      </x:c>
      <x:c r="J627" s="2" t="str">
        <x:v>비흡연</x:v>
      </x:c>
      <x:c r="K627" s="2" t="str">
        <x:v>고혈압</x:v>
      </x:c>
      <x:c r="L627" s="2" t="str">
        <x:v>암</x:v>
      </x:c>
      <x:c r="M627" s="2" t="str">
        <x:v>수호천사 간편심사(유병자)보험</x:v>
      </x:c>
      <x:c r="N627" s="2" t="str">
        <x:f>VLOOKUP(M627,'분류기준'!$A$5:$B$8,2,FALSE)</x:f>
        <x:v>간편심사보험</x:v>
      </x:c>
      <x:c r="O627" s="2" t="str">
        <x:v>중증질환 산정특례 보장 특약</x:v>
      </x:c>
      <x:c r="P627" s="2" t="str">
        <x:f>IF(O627="선택 안함","선택 안함",IF(O627="특약 없음","특약 없음","가입"))</x:f>
        <x:v>가입</x:v>
      </x:c>
      <x:c r="Q627" s="2" t="str">
        <x:f>IF(P627="가입","가입","미가입")</x:f>
        <x:v>가입</x:v>
      </x:c>
    </x:row>
    <x:row r="628" ht="23" customHeight="1">
      <x:c r="A628" s="2" t="str">
        <x:v>C0338</x:v>
      </x:c>
      <x:c r="B628" s="7" t="n">
        <x:v>48</x:v>
      </x:c>
      <x:c r="C628" s="2" t="str">
        <x:f>INT(B628/10)*10&amp;"대"</x:f>
        <x:v>40대</x:v>
      </x:c>
      <x:c r="D628" s="2" t="str">
        <x:v>남성</x:v>
      </x:c>
      <x:c r="E628" s="7" t="n">
        <x:v>6000</x:v>
      </x:c>
      <x:c r="F628" s="7" t="n">
        <x:v>1</x:v>
      </x:c>
      <x:c r="G628" s="2" t="str">
        <x:v>기혼</x:v>
      </x:c>
      <x:c r="H628" s="7" t="n">
        <x:v>0</x:v>
      </x:c>
      <x:c r="I628" s="2" t="str">
        <x:f>IF(H628&lt;3,H628&amp;"명","3명 이상")</x:f>
        <x:v>0명</x:v>
      </x:c>
      <x:c r="J628" s="2" t="str">
        <x:v>비흡연</x:v>
      </x:c>
      <x:c r="K628" s="2" t="str">
        <x:v>없음</x:v>
      </x:c>
      <x:c r="L628" s="2" t="str">
        <x:v>없음</x:v>
      </x:c>
      <x:c r="M628" s="2" t="str">
        <x:v>수호천사 암/건강보험</x:v>
      </x:c>
      <x:c r="N628" s="2" t="str">
        <x:f>VLOOKUP(M628,'분류기준'!$A$5:$B$8,2,FALSE)</x:f>
        <x:v>암/건강보험</x:v>
      </x:c>
      <x:c r="O628" s="2" t="str">
        <x:v>선택 안함</x:v>
      </x:c>
      <x:c r="P628" s="2" t="str">
        <x:f>IF(O628="선택 안함","선택 안함",IF(O628="특약 없음","특약 없음","가입"))</x:f>
        <x:v>선택 안함</x:v>
      </x:c>
      <x:c r="Q628" s="2" t="str">
        <x:f>IF(P628="가입","가입","미가입")</x:f>
        <x:v>미가입</x:v>
      </x:c>
    </x:row>
    <x:row r="629" ht="23" customHeight="1">
      <x:c r="A629" s="2" t="str">
        <x:v>C0370</x:v>
      </x:c>
      <x:c r="B629" s="7" t="n">
        <x:v>48</x:v>
      </x:c>
      <x:c r="C629" s="2" t="str">
        <x:f>INT(B629/10)*10&amp;"대"</x:f>
        <x:v>40대</x:v>
      </x:c>
      <x:c r="D629" s="2" t="str">
        <x:v>여성</x:v>
      </x:c>
      <x:c r="E629" s="7" t="n">
        <x:v>3000</x:v>
      </x:c>
      <x:c r="F629" s="7" t="n">
        <x:v>2</x:v>
      </x:c>
      <x:c r="G629" s="2" t="str">
        <x:v>기혼</x:v>
      </x:c>
      <x:c r="H629" s="7" t="n">
        <x:v>1</x:v>
      </x:c>
      <x:c r="I629" s="2" t="str">
        <x:f>IF(H629&lt;3,H629&amp;"명","3명 이상")</x:f>
        <x:v>1명</x:v>
      </x:c>
      <x:c r="J629" s="2" t="str">
        <x:v>비흡연</x:v>
      </x:c>
      <x:c r="K629" s="2" t="str">
        <x:v>고혈압</x:v>
      </x:c>
      <x:c r="L629" s="2" t="str">
        <x:v>없음</x:v>
      </x:c>
      <x:c r="M629" s="2" t="str">
        <x:v>수호천사 우리가족 종신보험</x:v>
      </x:c>
      <x:c r="N629" s="2" t="str">
        <x:f>VLOOKUP(M629,'분류기준'!$A$5:$B$8,2,FALSE)</x:f>
        <x:v>종신보험</x:v>
      </x:c>
      <x:c r="O629" s="2" t="str">
        <x:v>선택 안함</x:v>
      </x:c>
      <x:c r="P629" s="2" t="str">
        <x:f>IF(O629="선택 안함","선택 안함",IF(O629="특약 없음","특약 없음","가입"))</x:f>
        <x:v>선택 안함</x:v>
      </x:c>
      <x:c r="Q629" s="2" t="str">
        <x:f>IF(P629="가입","가입","미가입")</x:f>
        <x:v>미가입</x:v>
      </x:c>
    </x:row>
    <x:row r="630" ht="23" customHeight="1">
      <x:c r="A630" s="2" t="str">
        <x:v>C0442</x:v>
      </x:c>
      <x:c r="B630" s="7" t="n">
        <x:v>48</x:v>
      </x:c>
      <x:c r="C630" s="2" t="str">
        <x:f>INT(B630/10)*10&amp;"대"</x:f>
        <x:v>40대</x:v>
      </x:c>
      <x:c r="D630" s="2" t="str">
        <x:v>남성</x:v>
      </x:c>
      <x:c r="E630" s="7" t="n">
        <x:v>7500</x:v>
      </x:c>
      <x:c r="F630" s="7" t="n">
        <x:v>1</x:v>
      </x:c>
      <x:c r="G630" s="2" t="str">
        <x:v>기혼</x:v>
      </x:c>
      <x:c r="H630" s="7" t="n">
        <x:v>0</x:v>
      </x:c>
      <x:c r="I630" s="2" t="str">
        <x:f>IF(H630&lt;3,H630&amp;"명","3명 이상")</x:f>
        <x:v>0명</x:v>
      </x:c>
      <x:c r="J630" s="2" t="str">
        <x:v>비흡연</x:v>
      </x:c>
      <x:c r="K630" s="2" t="str">
        <x:v>없음</x:v>
      </x:c>
      <x:c r="L630" s="2" t="str">
        <x:v>없음</x:v>
      </x:c>
      <x:c r="M630" s="2" t="str">
        <x:v>수호천사 암/건강보험</x:v>
      </x:c>
      <x:c r="N630" s="2" t="str">
        <x:f>VLOOKUP(M630,'분류기준'!$A$5:$B$8,2,FALSE)</x:f>
        <x:v>암/건강보험</x:v>
      </x:c>
      <x:c r="O630" s="2" t="str">
        <x:v>수술비 보장 특약</x:v>
      </x:c>
      <x:c r="P630" s="2" t="str">
        <x:f>IF(O630="선택 안함","선택 안함",IF(O630="특약 없음","특약 없음","가입"))</x:f>
        <x:v>가입</x:v>
      </x:c>
      <x:c r="Q630" s="2" t="str">
        <x:f>IF(P630="가입","가입","미가입")</x:f>
        <x:v>가입</x:v>
      </x:c>
    </x:row>
    <x:row r="631" ht="23" customHeight="1">
      <x:c r="A631" s="2" t="str">
        <x:v>C0449</x:v>
      </x:c>
      <x:c r="B631" s="7" t="n">
        <x:v>48</x:v>
      </x:c>
      <x:c r="C631" s="2" t="str">
        <x:f>INT(B631/10)*10&amp;"대"</x:f>
        <x:v>40대</x:v>
      </x:c>
      <x:c r="D631" s="2" t="str">
        <x:v>여성</x:v>
      </x:c>
      <x:c r="E631" s="7" t="n">
        <x:v>6000</x:v>
      </x:c>
      <x:c r="F631" s="7" t="n">
        <x:v>3</x:v>
      </x:c>
      <x:c r="G631" s="2" t="str">
        <x:v>기혼</x:v>
      </x:c>
      <x:c r="H631" s="7" t="n">
        <x:v>1</x:v>
      </x:c>
      <x:c r="I631" s="2" t="str">
        <x:f>IF(H631&lt;3,H631&amp;"명","3명 이상")</x:f>
        <x:v>1명</x:v>
      </x:c>
      <x:c r="J631" s="2" t="str">
        <x:v>비흡연</x:v>
      </x:c>
      <x:c r="K631" s="2" t="str">
        <x:v>고혈압</x:v>
      </x:c>
      <x:c r="L631" s="2" t="str">
        <x:v>없음</x:v>
      </x:c>
      <x:c r="M631" s="2" t="str">
        <x:v>수호천사 우리가족 종신보험</x:v>
      </x:c>
      <x:c r="N631" s="2" t="str">
        <x:f>VLOOKUP(M631,'분류기준'!$A$5:$B$8,2,FALSE)</x:f>
        <x:v>종신보험</x:v>
      </x:c>
      <x:c r="O631" s="2" t="str">
        <x:v>가족 수입 보장 특약</x:v>
      </x:c>
      <x:c r="P631" s="2" t="str">
        <x:f>IF(O631="선택 안함","선택 안함",IF(O631="특약 없음","특약 없음","가입"))</x:f>
        <x:v>가입</x:v>
      </x:c>
      <x:c r="Q631" s="2" t="str">
        <x:f>IF(P631="가입","가입","미가입")</x:f>
        <x:v>가입</x:v>
      </x:c>
    </x:row>
    <x:row r="632" ht="23" customHeight="1">
      <x:c r="A632" s="2" t="str">
        <x:v>C0502</x:v>
      </x:c>
      <x:c r="B632" s="7" t="n">
        <x:v>48</x:v>
      </x:c>
      <x:c r="C632" s="2" t="str">
        <x:f>INT(B632/10)*10&amp;"대"</x:f>
        <x:v>40대</x:v>
      </x:c>
      <x:c r="D632" s="2" t="str">
        <x:v>여성</x:v>
      </x:c>
      <x:c r="E632" s="7" t="n">
        <x:v>5000</x:v>
      </x:c>
      <x:c r="F632" s="7" t="n">
        <x:v>2</x:v>
      </x:c>
      <x:c r="G632" s="2" t="str">
        <x:v>미혼</x:v>
      </x:c>
      <x:c r="H632" s="7" t="n">
        <x:v>0</x:v>
      </x:c>
      <x:c r="I632" s="2" t="str">
        <x:f>IF(H632&lt;3,H632&amp;"명","3명 이상")</x:f>
        <x:v>0명</x:v>
      </x:c>
      <x:c r="J632" s="2" t="str">
        <x:v>흡연</x:v>
      </x:c>
      <x:c r="K632" s="2" t="str">
        <x:v>당뇨</x:v>
      </x:c>
      <x:c r="L632" s="2" t="str">
        <x:v>암</x:v>
      </x:c>
      <x:c r="M632" s="2" t="str">
        <x:v>수호천사 간편심사(유병자)보험</x:v>
      </x:c>
      <x:c r="N632" s="2" t="str">
        <x:f>VLOOKUP(M632,'분류기준'!$A$5:$B$8,2,FALSE)</x:f>
        <x:v>간편심사보험</x:v>
      </x:c>
      <x:c r="O632" s="2" t="str">
        <x:v>중증질환 산정특례 보장 특약</x:v>
      </x:c>
      <x:c r="P632" s="2" t="str">
        <x:f>IF(O632="선택 안함","선택 안함",IF(O632="특약 없음","특약 없음","가입"))</x:f>
        <x:v>가입</x:v>
      </x:c>
      <x:c r="Q632" s="2" t="str">
        <x:f>IF(P632="가입","가입","미가입")</x:f>
        <x:v>가입</x:v>
      </x:c>
    </x:row>
    <x:row r="633" ht="23" customHeight="1">
      <x:c r="A633" s="2" t="str">
        <x:v>C0513</x:v>
      </x:c>
      <x:c r="B633" s="7" t="n">
        <x:v>48</x:v>
      </x:c>
      <x:c r="C633" s="2" t="str">
        <x:f>INT(B633/10)*10&amp;"대"</x:f>
        <x:v>40대</x:v>
      </x:c>
      <x:c r="D633" s="2" t="str">
        <x:v>여성</x:v>
      </x:c>
      <x:c r="E633" s="7" t="n">
        <x:v>4000</x:v>
      </x:c>
      <x:c r="F633" s="7" t="n">
        <x:v>1</x:v>
      </x:c>
      <x:c r="G633" s="2" t="str">
        <x:v>기혼</x:v>
      </x:c>
      <x:c r="H633" s="7" t="n">
        <x:v>2</x:v>
      </x:c>
      <x:c r="I633" s="2" t="str">
        <x:f>IF(H633&lt;3,H633&amp;"명","3명 이상")</x:f>
        <x:v>2명</x:v>
      </x:c>
      <x:c r="J633" s="2" t="str">
        <x:v>비흡연</x:v>
      </x:c>
      <x:c r="K633" s="2" t="str">
        <x:v>없음</x:v>
      </x:c>
      <x:c r="L633" s="2" t="str">
        <x:v>없음</x:v>
      </x:c>
      <x:c r="M633" s="2" t="str">
        <x:v>수호천사 간편심사(유병자)보험</x:v>
      </x:c>
      <x:c r="N633" s="2" t="str">
        <x:f>VLOOKUP(M633,'분류기준'!$A$5:$B$8,2,FALSE)</x:f>
        <x:v>간편심사보험</x:v>
      </x:c>
      <x:c r="O633" s="2" t="str">
        <x:v>중증질환 산정특례 보장 특약</x:v>
      </x:c>
      <x:c r="P633" s="2" t="str">
        <x:f>IF(O633="선택 안함","선택 안함",IF(O633="특약 없음","특약 없음","가입"))</x:f>
        <x:v>가입</x:v>
      </x:c>
      <x:c r="Q633" s="2" t="str">
        <x:f>IF(P633="가입","가입","미가입")</x:f>
        <x:v>가입</x:v>
      </x:c>
    </x:row>
    <x:row r="634" ht="23" customHeight="1">
      <x:c r="A634" s="2" t="str">
        <x:v>C0523</x:v>
      </x:c>
      <x:c r="B634" s="7" t="n">
        <x:v>48</x:v>
      </x:c>
      <x:c r="C634" s="2" t="str">
        <x:f>INT(B634/10)*10&amp;"대"</x:f>
        <x:v>40대</x:v>
      </x:c>
      <x:c r="D634" s="2" t="str">
        <x:v>여성</x:v>
      </x:c>
      <x:c r="E634" s="7" t="n">
        <x:v>6000</x:v>
      </x:c>
      <x:c r="F634" s="7" t="n">
        <x:v>1</x:v>
      </x:c>
      <x:c r="G634" s="2" t="str">
        <x:v>기혼</x:v>
      </x:c>
      <x:c r="H634" s="7" t="n">
        <x:v>0</x:v>
      </x:c>
      <x:c r="I634" s="2" t="str">
        <x:f>IF(H634&lt;3,H634&amp;"명","3명 이상")</x:f>
        <x:v>0명</x:v>
      </x:c>
      <x:c r="J634" s="2" t="str">
        <x:v>비흡연</x:v>
      </x:c>
      <x:c r="K634" s="2" t="str">
        <x:v>없음</x:v>
      </x:c>
      <x:c r="L634" s="2" t="str">
        <x:v>없음</x:v>
      </x:c>
      <x:c r="M634" s="2" t="str">
        <x:v>수호천사 행복 연금보험</x:v>
      </x:c>
      <x:c r="N634" s="2" t="str">
        <x:f>VLOOKUP(M634,'분류기준'!$A$5:$B$8,2,FALSE)</x:f>
        <x:v>연금보험</x:v>
      </x:c>
      <x:c r="O634" s="2" t="str">
        <x:v>특약 없음</x:v>
      </x:c>
      <x:c r="P634" s="2" t="str">
        <x:f>IF(O634="선택 안함","선택 안함",IF(O634="특약 없음","특약 없음","가입"))</x:f>
        <x:v>특약 없음</x:v>
      </x:c>
      <x:c r="Q634" s="2" t="str">
        <x:f>IF(P634="가입","가입","미가입")</x:f>
        <x:v>미가입</x:v>
      </x:c>
    </x:row>
    <x:row r="635" ht="23" customHeight="1">
      <x:c r="A635" s="2" t="str">
        <x:v>C0584</x:v>
      </x:c>
      <x:c r="B635" s="7" t="n">
        <x:v>48</x:v>
      </x:c>
      <x:c r="C635" s="2" t="str">
        <x:f>INT(B635/10)*10&amp;"대"</x:f>
        <x:v>40대</x:v>
      </x:c>
      <x:c r="D635" s="2" t="str">
        <x:v>여성</x:v>
      </x:c>
      <x:c r="E635" s="7" t="n">
        <x:v>4000</x:v>
      </x:c>
      <x:c r="F635" s="7" t="n">
        <x:v>1</x:v>
      </x:c>
      <x:c r="G635" s="2" t="str">
        <x:v>기혼</x:v>
      </x:c>
      <x:c r="H635" s="7" t="n">
        <x:v>1</x:v>
      </x:c>
      <x:c r="I635" s="2" t="str">
        <x:f>IF(H635&lt;3,H635&amp;"명","3명 이상")</x:f>
        <x:v>1명</x:v>
      </x:c>
      <x:c r="J635" s="2" t="str">
        <x:v>흡연</x:v>
      </x:c>
      <x:c r="K635" s="2" t="str">
        <x:v>없음</x:v>
      </x:c>
      <x:c r="L635" s="2" t="str">
        <x:v>없음</x:v>
      </x:c>
      <x:c r="M635" s="2" t="str">
        <x:v>수호천사 암/건강보험</x:v>
      </x:c>
      <x:c r="N635" s="2" t="str">
        <x:f>VLOOKUP(M635,'분류기준'!$A$5:$B$8,2,FALSE)</x:f>
        <x:v>암/건강보험</x:v>
      </x:c>
      <x:c r="O635" s="2" t="str">
        <x:v>수술비 보장 특약</x:v>
      </x:c>
      <x:c r="P635" s="2" t="str">
        <x:f>IF(O635="선택 안함","선택 안함",IF(O635="특약 없음","특약 없음","가입"))</x:f>
        <x:v>가입</x:v>
      </x:c>
      <x:c r="Q635" s="2" t="str">
        <x:f>IF(P635="가입","가입","미가입")</x:f>
        <x:v>가입</x:v>
      </x:c>
    </x:row>
    <x:row r="636" ht="23" customHeight="1">
      <x:c r="A636" s="2" t="str">
        <x:v>C0603</x:v>
      </x:c>
      <x:c r="B636" s="7" t="n">
        <x:v>48</x:v>
      </x:c>
      <x:c r="C636" s="2" t="str">
        <x:f>INT(B636/10)*10&amp;"대"</x:f>
        <x:v>40대</x:v>
      </x:c>
      <x:c r="D636" s="2" t="str">
        <x:v>여성</x:v>
      </x:c>
      <x:c r="E636" s="7" t="n">
        <x:v>9000</x:v>
      </x:c>
      <x:c r="F636" s="7" t="n">
        <x:v>1</x:v>
      </x:c>
      <x:c r="G636" s="2" t="str">
        <x:v>기혼</x:v>
      </x:c>
      <x:c r="H636" s="7" t="n">
        <x:v>1</x:v>
      </x:c>
      <x:c r="I636" s="2" t="str">
        <x:f>IF(H636&lt;3,H636&amp;"명","3명 이상")</x:f>
        <x:v>1명</x:v>
      </x:c>
      <x:c r="J636" s="2" t="str">
        <x:v>비흡연</x:v>
      </x:c>
      <x:c r="K636" s="2" t="str">
        <x:v>고혈압</x:v>
      </x:c>
      <x:c r="L636" s="2" t="str">
        <x:v>없음</x:v>
      </x:c>
      <x:c r="M636" s="2" t="str">
        <x:v>수호천사 간편심사(유병자)보험</x:v>
      </x:c>
      <x:c r="N636" s="2" t="str">
        <x:f>VLOOKUP(M636,'분류기준'!$A$5:$B$8,2,FALSE)</x:f>
        <x:v>간편심사보험</x:v>
      </x:c>
      <x:c r="O636" s="2" t="str">
        <x:v>중증질환 산정특례 보장 특약</x:v>
      </x:c>
      <x:c r="P636" s="2" t="str">
        <x:f>IF(O636="선택 안함","선택 안함",IF(O636="특약 없음","특약 없음","가입"))</x:f>
        <x:v>가입</x:v>
      </x:c>
      <x:c r="Q636" s="2" t="str">
        <x:f>IF(P636="가입","가입","미가입")</x:f>
        <x:v>가입</x:v>
      </x:c>
    </x:row>
    <x:row r="637" ht="23" customHeight="1">
      <x:c r="A637" s="2" t="str">
        <x:v>C0693</x:v>
      </x:c>
      <x:c r="B637" s="7" t="n">
        <x:v>48</x:v>
      </x:c>
      <x:c r="C637" s="2" t="str">
        <x:f>INT(B637/10)*10&amp;"대"</x:f>
        <x:v>40대</x:v>
      </x:c>
      <x:c r="D637" s="2" t="str">
        <x:v>남성</x:v>
      </x:c>
      <x:c r="E637" s="7" t="n">
        <x:v>3000</x:v>
      </x:c>
      <x:c r="F637" s="7" t="n">
        <x:v>1</x:v>
      </x:c>
      <x:c r="G637" s="2" t="str">
        <x:v>미혼</x:v>
      </x:c>
      <x:c r="H637" s="7" t="n">
        <x:v>0</x:v>
      </x:c>
      <x:c r="I637" s="2" t="str">
        <x:f>IF(H637&lt;3,H637&amp;"명","3명 이상")</x:f>
        <x:v>0명</x:v>
      </x:c>
      <x:c r="J637" s="2" t="str">
        <x:v>비흡연</x:v>
      </x:c>
      <x:c r="K637" s="2" t="str">
        <x:v>당뇨</x:v>
      </x:c>
      <x:c r="L637" s="2" t="str">
        <x:v>없음</x:v>
      </x:c>
      <x:c r="M637" s="2" t="str">
        <x:v>수호천사 간편심사(유병자)보험</x:v>
      </x:c>
      <x:c r="N637" s="2" t="str">
        <x:f>VLOOKUP(M637,'분류기준'!$A$5:$B$8,2,FALSE)</x:f>
        <x:v>간편심사보험</x:v>
      </x:c>
      <x:c r="O637" s="2" t="str">
        <x:v>중증질환 산정특례 보장 특약</x:v>
      </x:c>
      <x:c r="P637" s="2" t="str">
        <x:f>IF(O637="선택 안함","선택 안함",IF(O637="특약 없음","특약 없음","가입"))</x:f>
        <x:v>가입</x:v>
      </x:c>
      <x:c r="Q637" s="2" t="str">
        <x:f>IF(P637="가입","가입","미가입")</x:f>
        <x:v>가입</x:v>
      </x:c>
    </x:row>
    <x:row r="638" ht="23" customHeight="1">
      <x:c r="A638" s="2" t="str">
        <x:v>C0789</x:v>
      </x:c>
      <x:c r="B638" s="7" t="n">
        <x:v>48</x:v>
      </x:c>
      <x:c r="C638" s="2" t="str">
        <x:f>INT(B638/10)*10&amp;"대"</x:f>
        <x:v>40대</x:v>
      </x:c>
      <x:c r="D638" s="2" t="str">
        <x:v>여성</x:v>
      </x:c>
      <x:c r="E638" s="7" t="n">
        <x:v>4000</x:v>
      </x:c>
      <x:c r="F638" s="7" t="n">
        <x:v>1</x:v>
      </x:c>
      <x:c r="G638" s="2" t="str">
        <x:v>기혼</x:v>
      </x:c>
      <x:c r="H638" s="7" t="n">
        <x:v>0</x:v>
      </x:c>
      <x:c r="I638" s="2" t="str">
        <x:f>IF(H638&lt;3,H638&amp;"명","3명 이상")</x:f>
        <x:v>0명</x:v>
      </x:c>
      <x:c r="J638" s="2" t="str">
        <x:v>흡연</x:v>
      </x:c>
      <x:c r="K638" s="2" t="str">
        <x:v>당뇨</x:v>
      </x:c>
      <x:c r="L638" s="2" t="str">
        <x:v>없음</x:v>
      </x:c>
      <x:c r="M638" s="2" t="str">
        <x:v>수호천사 간편심사(유병자)보험</x:v>
      </x:c>
      <x:c r="N638" s="2" t="str">
        <x:f>VLOOKUP(M638,'분류기준'!$A$5:$B$8,2,FALSE)</x:f>
        <x:v>간편심사보험</x:v>
      </x:c>
      <x:c r="O638" s="2" t="str">
        <x:v>중증질환 산정특례 보장 특약</x:v>
      </x:c>
      <x:c r="P638" s="2" t="str">
        <x:f>IF(O638="선택 안함","선택 안함",IF(O638="특약 없음","특약 없음","가입"))</x:f>
        <x:v>가입</x:v>
      </x:c>
      <x:c r="Q638" s="2" t="str">
        <x:f>IF(P638="가입","가입","미가입")</x:f>
        <x:v>가입</x:v>
      </x:c>
    </x:row>
    <x:row r="639" ht="23" customHeight="1">
      <x:c r="A639" s="2" t="str">
        <x:v>C0819</x:v>
      </x:c>
      <x:c r="B639" s="7" t="n">
        <x:v>48</x:v>
      </x:c>
      <x:c r="C639" s="2" t="str">
        <x:f>INT(B639/10)*10&amp;"대"</x:f>
        <x:v>40대</x:v>
      </x:c>
      <x:c r="D639" s="2" t="str">
        <x:v>여성</x:v>
      </x:c>
      <x:c r="E639" s="7" t="n">
        <x:v>7500</x:v>
      </x:c>
      <x:c r="F639" s="7" t="n">
        <x:v>2</x:v>
      </x:c>
      <x:c r="G639" s="2" t="str">
        <x:v>기혼</x:v>
      </x:c>
      <x:c r="H639" s="7" t="n">
        <x:v>1</x:v>
      </x:c>
      <x:c r="I639" s="2" t="str">
        <x:f>IF(H639&lt;3,H639&amp;"명","3명 이상")</x:f>
        <x:v>1명</x:v>
      </x:c>
      <x:c r="J639" s="2" t="str">
        <x:v>흡연</x:v>
      </x:c>
      <x:c r="K639" s="2" t="str">
        <x:v>고혈압</x:v>
      </x:c>
      <x:c r="L639" s="2" t="str">
        <x:v>없음</x:v>
      </x:c>
      <x:c r="M639" s="2" t="str">
        <x:v>수호천사 우리가족 종신보험</x:v>
      </x:c>
      <x:c r="N639" s="2" t="str">
        <x:f>VLOOKUP(M639,'분류기준'!$A$5:$B$8,2,FALSE)</x:f>
        <x:v>종신보험</x:v>
      </x:c>
      <x:c r="O639" s="2" t="str">
        <x:v>가족 수입 보장 특약</x:v>
      </x:c>
      <x:c r="P639" s="2" t="str">
        <x:f>IF(O639="선택 안함","선택 안함",IF(O639="특약 없음","특약 없음","가입"))</x:f>
        <x:v>가입</x:v>
      </x:c>
      <x:c r="Q639" s="2" t="str">
        <x:f>IF(P639="가입","가입","미가입")</x:f>
        <x:v>가입</x:v>
      </x:c>
    </x:row>
    <x:row r="640" ht="23" customHeight="1">
      <x:c r="A640" s="2" t="str">
        <x:v>C0021</x:v>
      </x:c>
      <x:c r="B640" s="7" t="n">
        <x:v>49</x:v>
      </x:c>
      <x:c r="C640" s="2" t="str">
        <x:f>INT(B640/10)*10&amp;"대"</x:f>
        <x:v>40대</x:v>
      </x:c>
      <x:c r="D640" s="2" t="str">
        <x:v>여성</x:v>
      </x:c>
      <x:c r="E640" s="7" t="n">
        <x:v>4000</x:v>
      </x:c>
      <x:c r="F640" s="7" t="n">
        <x:v>2</x:v>
      </x:c>
      <x:c r="G640" s="2" t="str">
        <x:v>기혼</x:v>
      </x:c>
      <x:c r="H640" s="7" t="n">
        <x:v>2</x:v>
      </x:c>
      <x:c r="I640" s="2" t="str">
        <x:f>IF(H640&lt;3,H640&amp;"명","3명 이상")</x:f>
        <x:v>2명</x:v>
      </x:c>
      <x:c r="J640" s="2" t="str">
        <x:v>비흡연</x:v>
      </x:c>
      <x:c r="K640" s="2" t="str">
        <x:v>없음</x:v>
      </x:c>
      <x:c r="L640" s="2" t="str">
        <x:v>없음</x:v>
      </x:c>
      <x:c r="M640" s="2" t="str">
        <x:v>수호천사 우리가족 종신보험</x:v>
      </x:c>
      <x:c r="N640" s="2" t="str">
        <x:f>VLOOKUP(M640,'분류기준'!$A$5:$B$8,2,FALSE)</x:f>
        <x:v>종신보험</x:v>
      </x:c>
      <x:c r="O640" s="2" t="str">
        <x:v>선택 안함</x:v>
      </x:c>
      <x:c r="P640" s="2" t="str">
        <x:f>IF(O640="선택 안함","선택 안함",IF(O640="특약 없음","특약 없음","가입"))</x:f>
        <x:v>선택 안함</x:v>
      </x:c>
      <x:c r="Q640" s="2" t="str">
        <x:f>IF(P640="가입","가입","미가입")</x:f>
        <x:v>미가입</x:v>
      </x:c>
    </x:row>
    <x:row r="641" ht="23" customHeight="1">
      <x:c r="A641" s="2" t="str">
        <x:v>C0146</x:v>
      </x:c>
      <x:c r="B641" s="7" t="n">
        <x:v>49</x:v>
      </x:c>
      <x:c r="C641" s="2" t="str">
        <x:f>INT(B641/10)*10&amp;"대"</x:f>
        <x:v>40대</x:v>
      </x:c>
      <x:c r="D641" s="2" t="str">
        <x:v>남성</x:v>
      </x:c>
      <x:c r="E641" s="7" t="n">
        <x:v>6000</x:v>
      </x:c>
      <x:c r="F641" s="7" t="n">
        <x:v>1</x:v>
      </x:c>
      <x:c r="G641" s="2" t="str">
        <x:v>기혼</x:v>
      </x:c>
      <x:c r="H641" s="7" t="n">
        <x:v>2</x:v>
      </x:c>
      <x:c r="I641" s="2" t="str">
        <x:f>IF(H641&lt;3,H641&amp;"명","3명 이상")</x:f>
        <x:v>2명</x:v>
      </x:c>
      <x:c r="J641" s="2" t="str">
        <x:v>비흡연</x:v>
      </x:c>
      <x:c r="K641" s="2" t="str">
        <x:v>고혈압</x:v>
      </x:c>
      <x:c r="L641" s="2" t="str">
        <x:v>없음</x:v>
      </x:c>
      <x:c r="M641" s="2" t="str">
        <x:v>수호천사 우리가족 종신보험</x:v>
      </x:c>
      <x:c r="N641" s="2" t="str">
        <x:f>VLOOKUP(M641,'분류기준'!$A$5:$B$8,2,FALSE)</x:f>
        <x:v>종신보험</x:v>
      </x:c>
      <x:c r="O641" s="2" t="str">
        <x:v>가족 수입 보장 특약</x:v>
      </x:c>
      <x:c r="P641" s="2" t="str">
        <x:f>IF(O641="선택 안함","선택 안함",IF(O641="특약 없음","특약 없음","가입"))</x:f>
        <x:v>가입</x:v>
      </x:c>
      <x:c r="Q641" s="2" t="str">
        <x:f>IF(P641="가입","가입","미가입")</x:f>
        <x:v>가입</x:v>
      </x:c>
    </x:row>
    <x:row r="642" ht="23" customHeight="1">
      <x:c r="A642" s="2" t="str">
        <x:v>C0169</x:v>
      </x:c>
      <x:c r="B642" s="7" t="n">
        <x:v>49</x:v>
      </x:c>
      <x:c r="C642" s="2" t="str">
        <x:f>INT(B642/10)*10&amp;"대"</x:f>
        <x:v>40대</x:v>
      </x:c>
      <x:c r="D642" s="2" t="str">
        <x:v>여성</x:v>
      </x:c>
      <x:c r="E642" s="7" t="n">
        <x:v>7500</x:v>
      </x:c>
      <x:c r="F642" s="7" t="n">
        <x:v>2</x:v>
      </x:c>
      <x:c r="G642" s="2" t="str">
        <x:v>기혼</x:v>
      </x:c>
      <x:c r="H642" s="7" t="n">
        <x:v>1</x:v>
      </x:c>
      <x:c r="I642" s="2" t="str">
        <x:f>IF(H642&lt;3,H642&amp;"명","3명 이상")</x:f>
        <x:v>1명</x:v>
      </x:c>
      <x:c r="J642" s="2" t="str">
        <x:v>비흡연</x:v>
      </x:c>
      <x:c r="K642" s="2" t="str">
        <x:v>없음</x:v>
      </x:c>
      <x:c r="L642" s="2" t="str">
        <x:v>없음</x:v>
      </x:c>
      <x:c r="M642" s="2" t="str">
        <x:v>수호천사 우리가족 종신보험</x:v>
      </x:c>
      <x:c r="N642" s="2" t="str">
        <x:f>VLOOKUP(M642,'분류기준'!$A$5:$B$8,2,FALSE)</x:f>
        <x:v>종신보험</x:v>
      </x:c>
      <x:c r="O642" s="2" t="str">
        <x:v>가족 수입 보장 특약</x:v>
      </x:c>
      <x:c r="P642" s="2" t="str">
        <x:f>IF(O642="선택 안함","선택 안함",IF(O642="특약 없음","특약 없음","가입"))</x:f>
        <x:v>가입</x:v>
      </x:c>
      <x:c r="Q642" s="2" t="str">
        <x:f>IF(P642="가입","가입","미가입")</x:f>
        <x:v>가입</x:v>
      </x:c>
    </x:row>
    <x:row r="643" ht="23" customHeight="1">
      <x:c r="A643" s="2" t="str">
        <x:v>C0254</x:v>
      </x:c>
      <x:c r="B643" s="7" t="n">
        <x:v>49</x:v>
      </x:c>
      <x:c r="C643" s="2" t="str">
        <x:f>INT(B643/10)*10&amp;"대"</x:f>
        <x:v>40대</x:v>
      </x:c>
      <x:c r="D643" s="2" t="str">
        <x:v>여성</x:v>
      </x:c>
      <x:c r="E643" s="7" t="n">
        <x:v>7500</x:v>
      </x:c>
      <x:c r="F643" s="7" t="n">
        <x:v>1</x:v>
      </x:c>
      <x:c r="G643" s="2" t="str">
        <x:v>기혼</x:v>
      </x:c>
      <x:c r="H643" s="7" t="n">
        <x:v>0</x:v>
      </x:c>
      <x:c r="I643" s="2" t="str">
        <x:f>IF(H643&lt;3,H643&amp;"명","3명 이상")</x:f>
        <x:v>0명</x:v>
      </x:c>
      <x:c r="J643" s="2" t="str">
        <x:v>비흡연</x:v>
      </x:c>
      <x:c r="K643" s="2" t="str">
        <x:v>고혈압</x:v>
      </x:c>
      <x:c r="L643" s="2" t="str">
        <x:v>암</x:v>
      </x:c>
      <x:c r="M643" s="2" t="str">
        <x:v>수호천사 암/건강보험</x:v>
      </x:c>
      <x:c r="N643" s="2" t="str">
        <x:f>VLOOKUP(M643,'분류기준'!$A$5:$B$8,2,FALSE)</x:f>
        <x:v>암/건강보험</x:v>
      </x:c>
      <x:c r="O643" s="2" t="str">
        <x:v>표적항암약물허가치료 특약</x:v>
      </x:c>
      <x:c r="P643" s="2" t="str">
        <x:f>IF(O643="선택 안함","선택 안함",IF(O643="특약 없음","특약 없음","가입"))</x:f>
        <x:v>가입</x:v>
      </x:c>
      <x:c r="Q643" s="2" t="str">
        <x:f>IF(P643="가입","가입","미가입")</x:f>
        <x:v>가입</x:v>
      </x:c>
    </x:row>
    <x:row r="644" ht="23" customHeight="1">
      <x:c r="A644" s="2" t="str">
        <x:v>C0310</x:v>
      </x:c>
      <x:c r="B644" s="7" t="n">
        <x:v>49</x:v>
      </x:c>
      <x:c r="C644" s="2" t="str">
        <x:f>INT(B644/10)*10&amp;"대"</x:f>
        <x:v>40대</x:v>
      </x:c>
      <x:c r="D644" s="2" t="str">
        <x:v>여성</x:v>
      </x:c>
      <x:c r="E644" s="7" t="n">
        <x:v>4000</x:v>
      </x:c>
      <x:c r="F644" s="7" t="n">
        <x:v>1</x:v>
      </x:c>
      <x:c r="G644" s="2" t="str">
        <x:v>기혼</x:v>
      </x:c>
      <x:c r="H644" s="7" t="n">
        <x:v>2</x:v>
      </x:c>
      <x:c r="I644" s="2" t="str">
        <x:f>IF(H644&lt;3,H644&amp;"명","3명 이상")</x:f>
        <x:v>2명</x:v>
      </x:c>
      <x:c r="J644" s="2" t="str">
        <x:v>흡연</x:v>
      </x:c>
      <x:c r="K644" s="2" t="str">
        <x:v>없음</x:v>
      </x:c>
      <x:c r="L644" s="2" t="str">
        <x:v>암</x:v>
      </x:c>
      <x:c r="M644" s="2" t="str">
        <x:v>수호천사 암/건강보험</x:v>
      </x:c>
      <x:c r="N644" s="2" t="str">
        <x:f>VLOOKUP(M644,'분류기준'!$A$5:$B$8,2,FALSE)</x:f>
        <x:v>암/건강보험</x:v>
      </x:c>
      <x:c r="O644" s="2" t="str">
        <x:v>표적항암약물허가치료 특약</x:v>
      </x:c>
      <x:c r="P644" s="2" t="str">
        <x:f>IF(O644="선택 안함","선택 안함",IF(O644="특약 없음","특약 없음","가입"))</x:f>
        <x:v>가입</x:v>
      </x:c>
      <x:c r="Q644" s="2" t="str">
        <x:f>IF(P644="가입","가입","미가입")</x:f>
        <x:v>가입</x:v>
      </x:c>
    </x:row>
    <x:row r="645" ht="23" customHeight="1">
      <x:c r="A645" s="2" t="str">
        <x:v>C0319</x:v>
      </x:c>
      <x:c r="B645" s="7" t="n">
        <x:v>49</x:v>
      </x:c>
      <x:c r="C645" s="2" t="str">
        <x:f>INT(B645/10)*10&amp;"대"</x:f>
        <x:v>40대</x:v>
      </x:c>
      <x:c r="D645" s="2" t="str">
        <x:v>여성</x:v>
      </x:c>
      <x:c r="E645" s="7" t="n">
        <x:v>5000</x:v>
      </x:c>
      <x:c r="F645" s="7" t="n">
        <x:v>1</x:v>
      </x:c>
      <x:c r="G645" s="2" t="str">
        <x:v>기혼</x:v>
      </x:c>
      <x:c r="H645" s="7" t="n">
        <x:v>2</x:v>
      </x:c>
      <x:c r="I645" s="2" t="str">
        <x:f>IF(H645&lt;3,H645&amp;"명","3명 이상")</x:f>
        <x:v>2명</x:v>
      </x:c>
      <x:c r="J645" s="2" t="str">
        <x:v>비흡연</x:v>
      </x:c>
      <x:c r="K645" s="2" t="str">
        <x:v>고혈압</x:v>
      </x:c>
      <x:c r="L645" s="2" t="str">
        <x:v>심혈관</x:v>
      </x:c>
      <x:c r="M645" s="2" t="str">
        <x:v>수호천사 우리가족 종신보험</x:v>
      </x:c>
      <x:c r="N645" s="2" t="str">
        <x:f>VLOOKUP(M645,'분류기준'!$A$5:$B$8,2,FALSE)</x:f>
        <x:v>종신보험</x:v>
      </x:c>
      <x:c r="O645" s="2" t="str">
        <x:v>선택 안함</x:v>
      </x:c>
      <x:c r="P645" s="2" t="str">
        <x:f>IF(O645="선택 안함","선택 안함",IF(O645="특약 없음","특약 없음","가입"))</x:f>
        <x:v>선택 안함</x:v>
      </x:c>
      <x:c r="Q645" s="2" t="str">
        <x:f>IF(P645="가입","가입","미가입")</x:f>
        <x:v>미가입</x:v>
      </x:c>
    </x:row>
    <x:row r="646" ht="23" customHeight="1">
      <x:c r="A646" s="2" t="str">
        <x:v>C0330</x:v>
      </x:c>
      <x:c r="B646" s="7" t="n">
        <x:v>49</x:v>
      </x:c>
      <x:c r="C646" s="2" t="str">
        <x:f>INT(B646/10)*10&amp;"대"</x:f>
        <x:v>40대</x:v>
      </x:c>
      <x:c r="D646" s="2" t="str">
        <x:v>여성</x:v>
      </x:c>
      <x:c r="E646" s="7" t="n">
        <x:v>3000</x:v>
      </x:c>
      <x:c r="F646" s="7" t="n">
        <x:v>1</x:v>
      </x:c>
      <x:c r="G646" s="2" t="str">
        <x:v>기혼</x:v>
      </x:c>
      <x:c r="H646" s="7" t="n">
        <x:v>0</x:v>
      </x:c>
      <x:c r="I646" s="2" t="str">
        <x:f>IF(H646&lt;3,H646&amp;"명","3명 이상")</x:f>
        <x:v>0명</x:v>
      </x:c>
      <x:c r="J646" s="2" t="str">
        <x:v>비흡연</x:v>
      </x:c>
      <x:c r="K646" s="2" t="str">
        <x:v>없음</x:v>
      </x:c>
      <x:c r="L646" s="2" t="str">
        <x:v>없음</x:v>
      </x:c>
      <x:c r="M646" s="2" t="str">
        <x:v>수호천사 우리가족 종신보험</x:v>
      </x:c>
      <x:c r="N646" s="2" t="str">
        <x:f>VLOOKUP(M646,'분류기준'!$A$5:$B$8,2,FALSE)</x:f>
        <x:v>종신보험</x:v>
      </x:c>
      <x:c r="O646" s="2" t="str">
        <x:v>선택 안함</x:v>
      </x:c>
      <x:c r="P646" s="2" t="str">
        <x:f>IF(O646="선택 안함","선택 안함",IF(O646="특약 없음","특약 없음","가입"))</x:f>
        <x:v>선택 안함</x:v>
      </x:c>
      <x:c r="Q646" s="2" t="str">
        <x:f>IF(P646="가입","가입","미가입")</x:f>
        <x:v>미가입</x:v>
      </x:c>
    </x:row>
    <x:row r="647" ht="23" customHeight="1">
      <x:c r="A647" s="2" t="str">
        <x:v>C0413</x:v>
      </x:c>
      <x:c r="B647" s="7" t="n">
        <x:v>49</x:v>
      </x:c>
      <x:c r="C647" s="2" t="str">
        <x:f>INT(B647/10)*10&amp;"대"</x:f>
        <x:v>40대</x:v>
      </x:c>
      <x:c r="D647" s="2" t="str">
        <x:v>여성</x:v>
      </x:c>
      <x:c r="E647" s="7" t="n">
        <x:v>4000</x:v>
      </x:c>
      <x:c r="F647" s="7" t="n">
        <x:v>1</x:v>
      </x:c>
      <x:c r="G647" s="2" t="str">
        <x:v>기혼</x:v>
      </x:c>
      <x:c r="H647" s="7" t="n">
        <x:v>2</x:v>
      </x:c>
      <x:c r="I647" s="2" t="str">
        <x:f>IF(H647&lt;3,H647&amp;"명","3명 이상")</x:f>
        <x:v>2명</x:v>
      </x:c>
      <x:c r="J647" s="2" t="str">
        <x:v>비흡연</x:v>
      </x:c>
      <x:c r="K647" s="2" t="str">
        <x:v>없음</x:v>
      </x:c>
      <x:c r="L647" s="2" t="str">
        <x:v>없음</x:v>
      </x:c>
      <x:c r="M647" s="2" t="str">
        <x:v>수호천사 우리가족 종신보험</x:v>
      </x:c>
      <x:c r="N647" s="2" t="str">
        <x:f>VLOOKUP(M647,'분류기준'!$A$5:$B$8,2,FALSE)</x:f>
        <x:v>종신보험</x:v>
      </x:c>
      <x:c r="O647" s="2" t="str">
        <x:v>가족 수입 보장 특약</x:v>
      </x:c>
      <x:c r="P647" s="2" t="str">
        <x:f>IF(O647="선택 안함","선택 안함",IF(O647="특약 없음","특약 없음","가입"))</x:f>
        <x:v>가입</x:v>
      </x:c>
      <x:c r="Q647" s="2" t="str">
        <x:f>IF(P647="가입","가입","미가입")</x:f>
        <x:v>가입</x:v>
      </x:c>
    </x:row>
    <x:row r="648" ht="23" customHeight="1">
      <x:c r="A648" s="2" t="str">
        <x:v>C0419</x:v>
      </x:c>
      <x:c r="B648" s="7" t="n">
        <x:v>49</x:v>
      </x:c>
      <x:c r="C648" s="2" t="str">
        <x:f>INT(B648/10)*10&amp;"대"</x:f>
        <x:v>40대</x:v>
      </x:c>
      <x:c r="D648" s="2" t="str">
        <x:v>여성</x:v>
      </x:c>
      <x:c r="E648" s="7" t="n">
        <x:v>3000</x:v>
      </x:c>
      <x:c r="F648" s="7" t="n">
        <x:v>1</x:v>
      </x:c>
      <x:c r="G648" s="2" t="str">
        <x:v>기혼</x:v>
      </x:c>
      <x:c r="H648" s="7" t="n">
        <x:v>0</x:v>
      </x:c>
      <x:c r="I648" s="2" t="str">
        <x:f>IF(H648&lt;3,H648&amp;"명","3명 이상")</x:f>
        <x:v>0명</x:v>
      </x:c>
      <x:c r="J648" s="2" t="str">
        <x:v>비흡연</x:v>
      </x:c>
      <x:c r="K648" s="2" t="str">
        <x:v>없음</x:v>
      </x:c>
      <x:c r="L648" s="2" t="str">
        <x:v>암</x:v>
      </x:c>
      <x:c r="M648" s="2" t="str">
        <x:v>수호천사 암/건강보험</x:v>
      </x:c>
      <x:c r="N648" s="2" t="str">
        <x:f>VLOOKUP(M648,'분류기준'!$A$5:$B$8,2,FALSE)</x:f>
        <x:v>암/건강보험</x:v>
      </x:c>
      <x:c r="O648" s="2" t="str">
        <x:v>수술비 보장 특약</x:v>
      </x:c>
      <x:c r="P648" s="2" t="str">
        <x:f>IF(O648="선택 안함","선택 안함",IF(O648="특약 없음","특약 없음","가입"))</x:f>
        <x:v>가입</x:v>
      </x:c>
      <x:c r="Q648" s="2" t="str">
        <x:f>IF(P648="가입","가입","미가입")</x:f>
        <x:v>가입</x:v>
      </x:c>
    </x:row>
    <x:row r="649" ht="23" customHeight="1">
      <x:c r="A649" s="2" t="str">
        <x:v>C0453</x:v>
      </x:c>
      <x:c r="B649" s="7" t="n">
        <x:v>49</x:v>
      </x:c>
      <x:c r="C649" s="2" t="str">
        <x:f>INT(B649/10)*10&amp;"대"</x:f>
        <x:v>40대</x:v>
      </x:c>
      <x:c r="D649" s="2" t="str">
        <x:v>여성</x:v>
      </x:c>
      <x:c r="E649" s="7" t="n">
        <x:v>3000</x:v>
      </x:c>
      <x:c r="F649" s="7" t="n">
        <x:v>3</x:v>
      </x:c>
      <x:c r="G649" s="2" t="str">
        <x:v>기혼</x:v>
      </x:c>
      <x:c r="H649" s="7" t="n">
        <x:v>1</x:v>
      </x:c>
      <x:c r="I649" s="2" t="str">
        <x:f>IF(H649&lt;3,H649&amp;"명","3명 이상")</x:f>
        <x:v>1명</x:v>
      </x:c>
      <x:c r="J649" s="2" t="str">
        <x:v>비흡연</x:v>
      </x:c>
      <x:c r="K649" s="2" t="str">
        <x:v>없음</x:v>
      </x:c>
      <x:c r="L649" s="2" t="str">
        <x:v>없음</x:v>
      </x:c>
      <x:c r="M649" s="2" t="str">
        <x:v>수호천사 우리가족 종신보험</x:v>
      </x:c>
      <x:c r="N649" s="2" t="str">
        <x:f>VLOOKUP(M649,'분류기준'!$A$5:$B$8,2,FALSE)</x:f>
        <x:v>종신보험</x:v>
      </x:c>
      <x:c r="O649" s="2" t="str">
        <x:v>가족 수입 보장 특약</x:v>
      </x:c>
      <x:c r="P649" s="2" t="str">
        <x:f>IF(O649="선택 안함","선택 안함",IF(O649="특약 없음","특약 없음","가입"))</x:f>
        <x:v>가입</x:v>
      </x:c>
      <x:c r="Q649" s="2" t="str">
        <x:f>IF(P649="가입","가입","미가입")</x:f>
        <x:v>가입</x:v>
      </x:c>
    </x:row>
    <x:row r="650" ht="23" customHeight="1">
      <x:c r="A650" s="2" t="str">
        <x:v>C0464</x:v>
      </x:c>
      <x:c r="B650" s="7" t="n">
        <x:v>49</x:v>
      </x:c>
      <x:c r="C650" s="2" t="str">
        <x:f>INT(B650/10)*10&amp;"대"</x:f>
        <x:v>40대</x:v>
      </x:c>
      <x:c r="D650" s="2" t="str">
        <x:v>여성</x:v>
      </x:c>
      <x:c r="E650" s="7" t="n">
        <x:v>4000</x:v>
      </x:c>
      <x:c r="F650" s="7" t="n">
        <x:v>2</x:v>
      </x:c>
      <x:c r="G650" s="2" t="str">
        <x:v>미혼</x:v>
      </x:c>
      <x:c r="H650" s="7" t="n">
        <x:v>0</x:v>
      </x:c>
      <x:c r="I650" s="2" t="str">
        <x:f>IF(H650&lt;3,H650&amp;"명","3명 이상")</x:f>
        <x:v>0명</x:v>
      </x:c>
      <x:c r="J650" s="2" t="str">
        <x:v>흡연</x:v>
      </x:c>
      <x:c r="K650" s="2" t="str">
        <x:v>없음</x:v>
      </x:c>
      <x:c r="L650" s="2" t="str">
        <x:v>심혈관</x:v>
      </x:c>
      <x:c r="M650" s="2" t="str">
        <x:v>수호천사 간편심사(유병자)보험</x:v>
      </x:c>
      <x:c r="N650" s="2" t="str">
        <x:f>VLOOKUP(M650,'분류기준'!$A$5:$B$8,2,FALSE)</x:f>
        <x:v>간편심사보험</x:v>
      </x:c>
      <x:c r="O650" s="2" t="str">
        <x:v>중증질환 산정특례 보장 특약</x:v>
      </x:c>
      <x:c r="P650" s="2" t="str">
        <x:f>IF(O650="선택 안함","선택 안함",IF(O650="특약 없음","특약 없음","가입"))</x:f>
        <x:v>가입</x:v>
      </x:c>
      <x:c r="Q650" s="2" t="str">
        <x:f>IF(P650="가입","가입","미가입")</x:f>
        <x:v>가입</x:v>
      </x:c>
    </x:row>
    <x:row r="651" ht="23" customHeight="1">
      <x:c r="A651" s="2" t="str">
        <x:v>C0548</x:v>
      </x:c>
      <x:c r="B651" s="7" t="n">
        <x:v>49</x:v>
      </x:c>
      <x:c r="C651" s="2" t="str">
        <x:f>INT(B651/10)*10&amp;"대"</x:f>
        <x:v>40대</x:v>
      </x:c>
      <x:c r="D651" s="2" t="str">
        <x:v>여성</x:v>
      </x:c>
      <x:c r="E651" s="7" t="n">
        <x:v>4000</x:v>
      </x:c>
      <x:c r="F651" s="7" t="n">
        <x:v>2</x:v>
      </x:c>
      <x:c r="G651" s="2" t="str">
        <x:v>기혼</x:v>
      </x:c>
      <x:c r="H651" s="7" t="n">
        <x:v>2</x:v>
      </x:c>
      <x:c r="I651" s="2" t="str">
        <x:f>IF(H651&lt;3,H651&amp;"명","3명 이상")</x:f>
        <x:v>2명</x:v>
      </x:c>
      <x:c r="J651" s="2" t="str">
        <x:v>비흡연</x:v>
      </x:c>
      <x:c r="K651" s="2" t="str">
        <x:v>없음</x:v>
      </x:c>
      <x:c r="L651" s="2" t="str">
        <x:v>없음</x:v>
      </x:c>
      <x:c r="M651" s="2" t="str">
        <x:v>수호천사 암/건강보험</x:v>
      </x:c>
      <x:c r="N651" s="2" t="str">
        <x:f>VLOOKUP(M651,'분류기준'!$A$5:$B$8,2,FALSE)</x:f>
        <x:v>암/건강보험</x:v>
      </x:c>
      <x:c r="O651" s="2" t="str">
        <x:v>수술비 보장 특약</x:v>
      </x:c>
      <x:c r="P651" s="2" t="str">
        <x:f>IF(O651="선택 안함","선택 안함",IF(O651="특약 없음","특약 없음","가입"))</x:f>
        <x:v>가입</x:v>
      </x:c>
      <x:c r="Q651" s="2" t="str">
        <x:f>IF(P651="가입","가입","미가입")</x:f>
        <x:v>가입</x:v>
      </x:c>
    </x:row>
    <x:row r="652" ht="23" customHeight="1">
      <x:c r="A652" s="2" t="str">
        <x:v>C0703</x:v>
      </x:c>
      <x:c r="B652" s="7" t="n">
        <x:v>49</x:v>
      </x:c>
      <x:c r="C652" s="2" t="str">
        <x:f>INT(B652/10)*10&amp;"대"</x:f>
        <x:v>40대</x:v>
      </x:c>
      <x:c r="D652" s="2" t="str">
        <x:v>여성</x:v>
      </x:c>
      <x:c r="E652" s="7" t="n">
        <x:v>7500</x:v>
      </x:c>
      <x:c r="F652" s="7" t="n">
        <x:v>1</x:v>
      </x:c>
      <x:c r="G652" s="2" t="str">
        <x:v>기혼</x:v>
      </x:c>
      <x:c r="H652" s="7" t="n">
        <x:v>2</x:v>
      </x:c>
      <x:c r="I652" s="2" t="str">
        <x:f>IF(H652&lt;3,H652&amp;"명","3명 이상")</x:f>
        <x:v>2명</x:v>
      </x:c>
      <x:c r="J652" s="2" t="str">
        <x:v>비흡연</x:v>
      </x:c>
      <x:c r="K652" s="2" t="str">
        <x:v>없음</x:v>
      </x:c>
      <x:c r="L652" s="2" t="str">
        <x:v>없음</x:v>
      </x:c>
      <x:c r="M652" s="2" t="str">
        <x:v>수호천사 우리가족 종신보험</x:v>
      </x:c>
      <x:c r="N652" s="2" t="str">
        <x:f>VLOOKUP(M652,'분류기준'!$A$5:$B$8,2,FALSE)</x:f>
        <x:v>종신보험</x:v>
      </x:c>
      <x:c r="O652" s="2" t="str">
        <x:v>선택 안함</x:v>
      </x:c>
      <x:c r="P652" s="2" t="str">
        <x:f>IF(O652="선택 안함","선택 안함",IF(O652="특약 없음","특약 없음","가입"))</x:f>
        <x:v>선택 안함</x:v>
      </x:c>
      <x:c r="Q652" s="2" t="str">
        <x:f>IF(P652="가입","가입","미가입")</x:f>
        <x:v>미가입</x:v>
      </x:c>
    </x:row>
    <x:row r="653" ht="23" customHeight="1">
      <x:c r="A653" s="2" t="str">
        <x:v>C0761</x:v>
      </x:c>
      <x:c r="B653" s="7" t="n">
        <x:v>49</x:v>
      </x:c>
      <x:c r="C653" s="2" t="str">
        <x:f>INT(B653/10)*10&amp;"대"</x:f>
        <x:v>40대</x:v>
      </x:c>
      <x:c r="D653" s="2" t="str">
        <x:v>남성</x:v>
      </x:c>
      <x:c r="E653" s="7" t="n">
        <x:v>9000</x:v>
      </x:c>
      <x:c r="F653" s="7" t="n">
        <x:v>1</x:v>
      </x:c>
      <x:c r="G653" s="2" t="str">
        <x:v>기혼</x:v>
      </x:c>
      <x:c r="H653" s="7" t="n">
        <x:v>0</x:v>
      </x:c>
      <x:c r="I653" s="2" t="str">
        <x:f>IF(H653&lt;3,H653&amp;"명","3명 이상")</x:f>
        <x:v>0명</x:v>
      </x:c>
      <x:c r="J653" s="2" t="str">
        <x:v>비흡연</x:v>
      </x:c>
      <x:c r="K653" s="2" t="str">
        <x:v>없음</x:v>
      </x:c>
      <x:c r="L653" s="2" t="str">
        <x:v>심혈관</x:v>
      </x:c>
      <x:c r="M653" s="2" t="str">
        <x:v>수호천사 암/건강보험</x:v>
      </x:c>
      <x:c r="N653" s="2" t="str">
        <x:f>VLOOKUP(M653,'분류기준'!$A$5:$B$8,2,FALSE)</x:f>
        <x:v>암/건강보험</x:v>
      </x:c>
      <x:c r="O653" s="2" t="str">
        <x:v>표적항암약물허가치료 특약</x:v>
      </x:c>
      <x:c r="P653" s="2" t="str">
        <x:f>IF(O653="선택 안함","선택 안함",IF(O653="특약 없음","특약 없음","가입"))</x:f>
        <x:v>가입</x:v>
      </x:c>
      <x:c r="Q653" s="2" t="str">
        <x:f>IF(P653="가입","가입","미가입")</x:f>
        <x:v>가입</x:v>
      </x:c>
    </x:row>
    <x:row r="654" ht="23" customHeight="1">
      <x:c r="A654" s="2" t="str">
        <x:v>C0762</x:v>
      </x:c>
      <x:c r="B654" s="7" t="n">
        <x:v>49</x:v>
      </x:c>
      <x:c r="C654" s="2" t="str">
        <x:f>INT(B654/10)*10&amp;"대"</x:f>
        <x:v>40대</x:v>
      </x:c>
      <x:c r="D654" s="2" t="str">
        <x:v>여성</x:v>
      </x:c>
      <x:c r="E654" s="7" t="n">
        <x:v>5000</x:v>
      </x:c>
      <x:c r="F654" s="7" t="n">
        <x:v>2</x:v>
      </x:c>
      <x:c r="G654" s="2" t="str">
        <x:v>기혼</x:v>
      </x:c>
      <x:c r="H654" s="7" t="n">
        <x:v>2</x:v>
      </x:c>
      <x:c r="I654" s="2" t="str">
        <x:f>IF(H654&lt;3,H654&amp;"명","3명 이상")</x:f>
        <x:v>2명</x:v>
      </x:c>
      <x:c r="J654" s="2" t="str">
        <x:v>비흡연</x:v>
      </x:c>
      <x:c r="K654" s="2" t="str">
        <x:v>고혈압</x:v>
      </x:c>
      <x:c r="L654" s="2" t="str">
        <x:v>없음</x:v>
      </x:c>
      <x:c r="M654" s="2" t="str">
        <x:v>수호천사 행복 연금보험</x:v>
      </x:c>
      <x:c r="N654" s="2" t="str">
        <x:f>VLOOKUP(M654,'분류기준'!$A$5:$B$8,2,FALSE)</x:f>
        <x:v>연금보험</x:v>
      </x:c>
      <x:c r="O654" s="2" t="str">
        <x:v>특약 없음</x:v>
      </x:c>
      <x:c r="P654" s="2" t="str">
        <x:f>IF(O654="선택 안함","선택 안함",IF(O654="특약 없음","특약 없음","가입"))</x:f>
        <x:v>특약 없음</x:v>
      </x:c>
      <x:c r="Q654" s="2" t="str">
        <x:f>IF(P654="가입","가입","미가입")</x:f>
        <x:v>미가입</x:v>
      </x:c>
    </x:row>
    <x:row r="655" ht="23" customHeight="1">
      <x:c r="A655" s="2" t="str">
        <x:v>C0777</x:v>
      </x:c>
      <x:c r="B655" s="7" t="n">
        <x:v>49</x:v>
      </x:c>
      <x:c r="C655" s="2" t="str">
        <x:f>INT(B655/10)*10&amp;"대"</x:f>
        <x:v>40대</x:v>
      </x:c>
      <x:c r="D655" s="2" t="str">
        <x:v>여성</x:v>
      </x:c>
      <x:c r="E655" s="7" t="n">
        <x:v>4000</x:v>
      </x:c>
      <x:c r="F655" s="7" t="n">
        <x:v>2</x:v>
      </x:c>
      <x:c r="G655" s="2" t="str">
        <x:v>기혼</x:v>
      </x:c>
      <x:c r="H655" s="7" t="n">
        <x:v>0</x:v>
      </x:c>
      <x:c r="I655" s="2" t="str">
        <x:f>IF(H655&lt;3,H655&amp;"명","3명 이상")</x:f>
        <x:v>0명</x:v>
      </x:c>
      <x:c r="J655" s="2" t="str">
        <x:v>비흡연</x:v>
      </x:c>
      <x:c r="K655" s="2" t="str">
        <x:v>고혈압</x:v>
      </x:c>
      <x:c r="L655" s="2" t="str">
        <x:v>없음</x:v>
      </x:c>
      <x:c r="M655" s="2" t="str">
        <x:v>수호천사 간편심사(유병자)보험</x:v>
      </x:c>
      <x:c r="N655" s="2" t="str">
        <x:f>VLOOKUP(M655,'분류기준'!$A$5:$B$8,2,FALSE)</x:f>
        <x:v>간편심사보험</x:v>
      </x:c>
      <x:c r="O655" s="2" t="str">
        <x:v>중증질환 산정특례 보장 특약</x:v>
      </x:c>
      <x:c r="P655" s="2" t="str">
        <x:f>IF(O655="선택 안함","선택 안함",IF(O655="특약 없음","특약 없음","가입"))</x:f>
        <x:v>가입</x:v>
      </x:c>
      <x:c r="Q655" s="2" t="str">
        <x:f>IF(P655="가입","가입","미가입")</x:f>
        <x:v>가입</x:v>
      </x:c>
    </x:row>
    <x:row r="656" ht="23" customHeight="1">
      <x:c r="A656" s="2" t="str">
        <x:v>C0785</x:v>
      </x:c>
      <x:c r="B656" s="7" t="n">
        <x:v>49</x:v>
      </x:c>
      <x:c r="C656" s="2" t="str">
        <x:f>INT(B656/10)*10&amp;"대"</x:f>
        <x:v>40대</x:v>
      </x:c>
      <x:c r="D656" s="2" t="str">
        <x:v>남성</x:v>
      </x:c>
      <x:c r="E656" s="7" t="n">
        <x:v>5000</x:v>
      </x:c>
      <x:c r="F656" s="7" t="n">
        <x:v>3</x:v>
      </x:c>
      <x:c r="G656" s="2" t="str">
        <x:v>기혼</x:v>
      </x:c>
      <x:c r="H656" s="7" t="n">
        <x:v>1</x:v>
      </x:c>
      <x:c r="I656" s="2" t="str">
        <x:f>IF(H656&lt;3,H656&amp;"명","3명 이상")</x:f>
        <x:v>1명</x:v>
      </x:c>
      <x:c r="J656" s="2" t="str">
        <x:v>비흡연</x:v>
      </x:c>
      <x:c r="K656" s="2" t="str">
        <x:v>고혈압</x:v>
      </x:c>
      <x:c r="L656" s="2" t="str">
        <x:v>암</x:v>
      </x:c>
      <x:c r="M656" s="2" t="str">
        <x:v>수호천사 암/건강보험</x:v>
      </x:c>
      <x:c r="N656" s="2" t="str">
        <x:f>VLOOKUP(M656,'분류기준'!$A$5:$B$8,2,FALSE)</x:f>
        <x:v>암/건강보험</x:v>
      </x:c>
      <x:c r="O656" s="2" t="str">
        <x:v>표적항암약물허가치료 특약</x:v>
      </x:c>
      <x:c r="P656" s="2" t="str">
        <x:f>IF(O656="선택 안함","선택 안함",IF(O656="특약 없음","특약 없음","가입"))</x:f>
        <x:v>가입</x:v>
      </x:c>
      <x:c r="Q656" s="2" t="str">
        <x:f>IF(P656="가입","가입","미가입")</x:f>
        <x:v>가입</x:v>
      </x:c>
    </x:row>
    <x:row r="657" ht="23" customHeight="1">
      <x:c r="A657" s="2" t="str">
        <x:v>C0844</x:v>
      </x:c>
      <x:c r="B657" s="7" t="n">
        <x:v>49</x:v>
      </x:c>
      <x:c r="C657" s="2" t="str">
        <x:f>INT(B657/10)*10&amp;"대"</x:f>
        <x:v>40대</x:v>
      </x:c>
      <x:c r="D657" s="2" t="str">
        <x:v>여성</x:v>
      </x:c>
      <x:c r="E657" s="7" t="n">
        <x:v>7500</x:v>
      </x:c>
      <x:c r="F657" s="7" t="n">
        <x:v>1</x:v>
      </x:c>
      <x:c r="G657" s="2" t="str">
        <x:v>기혼</x:v>
      </x:c>
      <x:c r="H657" s="7" t="n">
        <x:v>0</x:v>
      </x:c>
      <x:c r="I657" s="2" t="str">
        <x:f>IF(H657&lt;3,H657&amp;"명","3명 이상")</x:f>
        <x:v>0명</x:v>
      </x:c>
      <x:c r="J657" s="2" t="str">
        <x:v>비흡연</x:v>
      </x:c>
      <x:c r="K657" s="2" t="str">
        <x:v>없음</x:v>
      </x:c>
      <x:c r="L657" s="2" t="str">
        <x:v>없음</x:v>
      </x:c>
      <x:c r="M657" s="2" t="str">
        <x:v>수호천사 간편심사(유병자)보험</x:v>
      </x:c>
      <x:c r="N657" s="2" t="str">
        <x:f>VLOOKUP(M657,'분류기준'!$A$5:$B$8,2,FALSE)</x:f>
        <x:v>간편심사보험</x:v>
      </x:c>
      <x:c r="O657" s="2" t="str">
        <x:v>중증질환 산정특례 보장 특약</x:v>
      </x:c>
      <x:c r="P657" s="2" t="str">
        <x:f>IF(O657="선택 안함","선택 안함",IF(O657="특약 없음","특약 없음","가입"))</x:f>
        <x:v>가입</x:v>
      </x:c>
      <x:c r="Q657" s="2" t="str">
        <x:f>IF(P657="가입","가입","미가입")</x:f>
        <x:v>가입</x:v>
      </x:c>
    </x:row>
    <x:row r="658" ht="23" customHeight="1">
      <x:c r="A658" s="2" t="str">
        <x:v>C0917</x:v>
      </x:c>
      <x:c r="B658" s="7" t="n">
        <x:v>49</x:v>
      </x:c>
      <x:c r="C658" s="2" t="str">
        <x:f>INT(B658/10)*10&amp;"대"</x:f>
        <x:v>40대</x:v>
      </x:c>
      <x:c r="D658" s="2" t="str">
        <x:v>여성</x:v>
      </x:c>
      <x:c r="E658" s="7" t="n">
        <x:v>9000</x:v>
      </x:c>
      <x:c r="F658" s="7" t="n">
        <x:v>3</x:v>
      </x:c>
      <x:c r="G658" s="2" t="str">
        <x:v>기혼</x:v>
      </x:c>
      <x:c r="H658" s="7" t="n">
        <x:v>1</x:v>
      </x:c>
      <x:c r="I658" s="2" t="str">
        <x:f>IF(H658&lt;3,H658&amp;"명","3명 이상")</x:f>
        <x:v>1명</x:v>
      </x:c>
      <x:c r="J658" s="2" t="str">
        <x:v>비흡연</x:v>
      </x:c>
      <x:c r="K658" s="2" t="str">
        <x:v>없음</x:v>
      </x:c>
      <x:c r="L658" s="2" t="str">
        <x:v>없음</x:v>
      </x:c>
      <x:c r="M658" s="2" t="str">
        <x:v>수호천사 행복 연금보험</x:v>
      </x:c>
      <x:c r="N658" s="2" t="str">
        <x:f>VLOOKUP(M658,'분류기준'!$A$5:$B$8,2,FALSE)</x:f>
        <x:v>연금보험</x:v>
      </x:c>
      <x:c r="O658" s="2" t="str">
        <x:v>특약 없음</x:v>
      </x:c>
      <x:c r="P658" s="2" t="str">
        <x:f>IF(O658="선택 안함","선택 안함",IF(O658="특약 없음","특약 없음","가입"))</x:f>
        <x:v>특약 없음</x:v>
      </x:c>
      <x:c r="Q658" s="2" t="str">
        <x:f>IF(P658="가입","가입","미가입")</x:f>
        <x:v>미가입</x:v>
      </x:c>
    </x:row>
    <x:row r="659" ht="23" customHeight="1">
      <x:c r="A659" s="2" t="str">
        <x:v>C0919</x:v>
      </x:c>
      <x:c r="B659" s="7" t="n">
        <x:v>49</x:v>
      </x:c>
      <x:c r="C659" s="2" t="str">
        <x:f>INT(B659/10)*10&amp;"대"</x:f>
        <x:v>40대</x:v>
      </x:c>
      <x:c r="D659" s="2" t="str">
        <x:v>여성</x:v>
      </x:c>
      <x:c r="E659" s="7" t="n">
        <x:v>5000</x:v>
      </x:c>
      <x:c r="F659" s="7" t="n">
        <x:v>1</x:v>
      </x:c>
      <x:c r="G659" s="2" t="str">
        <x:v>기혼</x:v>
      </x:c>
      <x:c r="H659" s="7" t="n">
        <x:v>0</x:v>
      </x:c>
      <x:c r="I659" s="2" t="str">
        <x:f>IF(H659&lt;3,H659&amp;"명","3명 이상")</x:f>
        <x:v>0명</x:v>
      </x:c>
      <x:c r="J659" s="2" t="str">
        <x:v>비흡연</x:v>
      </x:c>
      <x:c r="K659" s="2" t="str">
        <x:v>없음</x:v>
      </x:c>
      <x:c r="L659" s="2" t="str">
        <x:v>없음</x:v>
      </x:c>
      <x:c r="M659" s="2" t="str">
        <x:v>수호천사 암/건강보험</x:v>
      </x:c>
      <x:c r="N659" s="2" t="str">
        <x:f>VLOOKUP(M659,'분류기준'!$A$5:$B$8,2,FALSE)</x:f>
        <x:v>암/건강보험</x:v>
      </x:c>
      <x:c r="O659" s="2" t="str">
        <x:v>표적항암약물허가치료 특약</x:v>
      </x:c>
      <x:c r="P659" s="2" t="str">
        <x:f>IF(O659="선택 안함","선택 안함",IF(O659="특약 없음","특약 없음","가입"))</x:f>
        <x:v>가입</x:v>
      </x:c>
      <x:c r="Q659" s="2" t="str">
        <x:f>IF(P659="가입","가입","미가입")</x:f>
        <x:v>가입</x:v>
      </x:c>
    </x:row>
    <x:row r="660" ht="23" customHeight="1">
      <x:c r="A660" s="2" t="str">
        <x:v>C0938</x:v>
      </x:c>
      <x:c r="B660" s="7" t="n">
        <x:v>49</x:v>
      </x:c>
      <x:c r="C660" s="2" t="str">
        <x:f>INT(B660/10)*10&amp;"대"</x:f>
        <x:v>40대</x:v>
      </x:c>
      <x:c r="D660" s="2" t="str">
        <x:v>여성</x:v>
      </x:c>
      <x:c r="E660" s="7" t="n">
        <x:v>6000</x:v>
      </x:c>
      <x:c r="F660" s="7" t="n">
        <x:v>2</x:v>
      </x:c>
      <x:c r="G660" s="2" t="str">
        <x:v>기혼</x:v>
      </x:c>
      <x:c r="H660" s="7" t="n">
        <x:v>1</x:v>
      </x:c>
      <x:c r="I660" s="2" t="str">
        <x:f>IF(H660&lt;3,H660&amp;"명","3명 이상")</x:f>
        <x:v>1명</x:v>
      </x:c>
      <x:c r="J660" s="2" t="str">
        <x:v>비흡연</x:v>
      </x:c>
      <x:c r="K660" s="2" t="str">
        <x:v>고혈압</x:v>
      </x:c>
      <x:c r="L660" s="2" t="str">
        <x:v>없음</x:v>
      </x:c>
      <x:c r="M660" s="2" t="str">
        <x:v>수호천사 우리가족 종신보험</x:v>
      </x:c>
      <x:c r="N660" s="2" t="str">
        <x:f>VLOOKUP(M660,'분류기준'!$A$5:$B$8,2,FALSE)</x:f>
        <x:v>종신보험</x:v>
      </x:c>
      <x:c r="O660" s="2" t="str">
        <x:v>가족 수입 보장 특약</x:v>
      </x:c>
      <x:c r="P660" s="2" t="str">
        <x:f>IF(O660="선택 안함","선택 안함",IF(O660="특약 없음","특약 없음","가입"))</x:f>
        <x:v>가입</x:v>
      </x:c>
      <x:c r="Q660" s="2" t="str">
        <x:f>IF(P660="가입","가입","미가입")</x:f>
        <x:v>가입</x:v>
      </x:c>
    </x:row>
    <x:row r="661" ht="23" customHeight="1">
      <x:c r="A661" s="2" t="str">
        <x:v>C0988</x:v>
      </x:c>
      <x:c r="B661" s="7" t="n">
        <x:v>49</x:v>
      </x:c>
      <x:c r="C661" s="2" t="str">
        <x:f>INT(B661/10)*10&amp;"대"</x:f>
        <x:v>40대</x:v>
      </x:c>
      <x:c r="D661" s="2" t="str">
        <x:v>남성</x:v>
      </x:c>
      <x:c r="E661" s="7" t="n">
        <x:v>6000</x:v>
      </x:c>
      <x:c r="F661" s="7" t="n">
        <x:v>1</x:v>
      </x:c>
      <x:c r="G661" s="2" t="str">
        <x:v>기혼</x:v>
      </x:c>
      <x:c r="H661" s="7" t="n">
        <x:v>0</x:v>
      </x:c>
      <x:c r="I661" s="2" t="str">
        <x:f>IF(H661&lt;3,H661&amp;"명","3명 이상")</x:f>
        <x:v>0명</x:v>
      </x:c>
      <x:c r="J661" s="2" t="str">
        <x:v>비흡연</x:v>
      </x:c>
      <x:c r="K661" s="2" t="str">
        <x:v>없음</x:v>
      </x:c>
      <x:c r="L661" s="2" t="str">
        <x:v>없음</x:v>
      </x:c>
      <x:c r="M661" s="2" t="str">
        <x:v>수호천사 간편심사(유병자)보험</x:v>
      </x:c>
      <x:c r="N661" s="2" t="str">
        <x:f>VLOOKUP(M661,'분류기준'!$A$5:$B$8,2,FALSE)</x:f>
        <x:v>간편심사보험</x:v>
      </x:c>
      <x:c r="O661" s="2" t="str">
        <x:v>중증질환 산정특례 보장 특약</x:v>
      </x:c>
      <x:c r="P661" s="2" t="str">
        <x:f>IF(O661="선택 안함","선택 안함",IF(O661="특약 없음","특약 없음","가입"))</x:f>
        <x:v>가입</x:v>
      </x:c>
      <x:c r="Q661" s="2" t="str">
        <x:f>IF(P661="가입","가입","미가입")</x:f>
        <x:v>가입</x:v>
      </x:c>
    </x:row>
    <x:row r="662" ht="23" customHeight="1">
      <x:c r="A662" s="2" t="str">
        <x:v>C0072</x:v>
      </x:c>
      <x:c r="B662" s="7" t="n">
        <x:v>50</x:v>
      </x:c>
      <x:c r="C662" s="2" t="str">
        <x:f>INT(B662/10)*10&amp;"대"</x:f>
        <x:v>50대</x:v>
      </x:c>
      <x:c r="D662" s="2" t="str">
        <x:v>여성</x:v>
      </x:c>
      <x:c r="E662" s="7" t="n">
        <x:v>3000</x:v>
      </x:c>
      <x:c r="F662" s="7" t="n">
        <x:v>3</x:v>
      </x:c>
      <x:c r="G662" s="2" t="str">
        <x:v>기혼</x:v>
      </x:c>
      <x:c r="H662" s="7" t="n">
        <x:v>1</x:v>
      </x:c>
      <x:c r="I662" s="2" t="str">
        <x:f>IF(H662&lt;3,H662&amp;"명","3명 이상")</x:f>
        <x:v>1명</x:v>
      </x:c>
      <x:c r="J662" s="2" t="str">
        <x:v>흡연</x:v>
      </x:c>
      <x:c r="K662" s="2" t="str">
        <x:v>당뇨</x:v>
      </x:c>
      <x:c r="L662" s="2" t="str">
        <x:v>없음</x:v>
      </x:c>
      <x:c r="M662" s="2" t="str">
        <x:v>수호천사 간편심사(유병자)보험</x:v>
      </x:c>
      <x:c r="N662" s="2" t="str">
        <x:f>VLOOKUP(M662,'분류기준'!$A$5:$B$8,2,FALSE)</x:f>
        <x:v>간편심사보험</x:v>
      </x:c>
      <x:c r="O662" s="2" t="str">
        <x:v>중증질환 산정특례 보장 특약</x:v>
      </x:c>
      <x:c r="P662" s="2" t="str">
        <x:f>IF(O662="선택 안함","선택 안함",IF(O662="특약 없음","특약 없음","가입"))</x:f>
        <x:v>가입</x:v>
      </x:c>
      <x:c r="Q662" s="2" t="str">
        <x:f>IF(P662="가입","가입","미가입")</x:f>
        <x:v>가입</x:v>
      </x:c>
    </x:row>
    <x:row r="663" ht="23" customHeight="1">
      <x:c r="A663" s="2" t="str">
        <x:v>C0253</x:v>
      </x:c>
      <x:c r="B663" s="7" t="n">
        <x:v>50</x:v>
      </x:c>
      <x:c r="C663" s="2" t="str">
        <x:f>INT(B663/10)*10&amp;"대"</x:f>
        <x:v>50대</x:v>
      </x:c>
      <x:c r="D663" s="2" t="str">
        <x:v>남성</x:v>
      </x:c>
      <x:c r="E663" s="7" t="n">
        <x:v>3000</x:v>
      </x:c>
      <x:c r="F663" s="7" t="n">
        <x:v>2</x:v>
      </x:c>
      <x:c r="G663" s="2" t="str">
        <x:v>기혼</x:v>
      </x:c>
      <x:c r="H663" s="7" t="n">
        <x:v>2</x:v>
      </x:c>
      <x:c r="I663" s="2" t="str">
        <x:f>IF(H663&lt;3,H663&amp;"명","3명 이상")</x:f>
        <x:v>2명</x:v>
      </x:c>
      <x:c r="J663" s="2" t="str">
        <x:v>비흡연</x:v>
      </x:c>
      <x:c r="K663" s="2" t="str">
        <x:v>없음</x:v>
      </x:c>
      <x:c r="L663" s="2" t="str">
        <x:v>없음</x:v>
      </x:c>
      <x:c r="M663" s="2" t="str">
        <x:v>수호천사 암/건강보험</x:v>
      </x:c>
      <x:c r="N663" s="2" t="str">
        <x:f>VLOOKUP(M663,'분류기준'!$A$5:$B$8,2,FALSE)</x:f>
        <x:v>암/건강보험</x:v>
      </x:c>
      <x:c r="O663" s="2" t="str">
        <x:v>표적항암약물허가치료 특약</x:v>
      </x:c>
      <x:c r="P663" s="2" t="str">
        <x:f>IF(O663="선택 안함","선택 안함",IF(O663="특약 없음","특약 없음","가입"))</x:f>
        <x:v>가입</x:v>
      </x:c>
      <x:c r="Q663" s="2" t="str">
        <x:f>IF(P663="가입","가입","미가입")</x:f>
        <x:v>가입</x:v>
      </x:c>
    </x:row>
    <x:row r="664" ht="23" customHeight="1">
      <x:c r="A664" s="2" t="str">
        <x:v>C0340</x:v>
      </x:c>
      <x:c r="B664" s="7" t="n">
        <x:v>50</x:v>
      </x:c>
      <x:c r="C664" s="2" t="str">
        <x:f>INT(B664/10)*10&amp;"대"</x:f>
        <x:v>50대</x:v>
      </x:c>
      <x:c r="D664" s="2" t="str">
        <x:v>남성</x:v>
      </x:c>
      <x:c r="E664" s="7" t="n">
        <x:v>4000</x:v>
      </x:c>
      <x:c r="F664" s="7" t="n">
        <x:v>1</x:v>
      </x:c>
      <x:c r="G664" s="2" t="str">
        <x:v>기혼</x:v>
      </x:c>
      <x:c r="H664" s="7" t="n">
        <x:v>1</x:v>
      </x:c>
      <x:c r="I664" s="2" t="str">
        <x:f>IF(H664&lt;3,H664&amp;"명","3명 이상")</x:f>
        <x:v>1명</x:v>
      </x:c>
      <x:c r="J664" s="2" t="str">
        <x:v>비흡연</x:v>
      </x:c>
      <x:c r="K664" s="2" t="str">
        <x:v>없음</x:v>
      </x:c>
      <x:c r="L664" s="2" t="str">
        <x:v>암</x:v>
      </x:c>
      <x:c r="M664" s="2" t="str">
        <x:v>수호천사 암/건강보험</x:v>
      </x:c>
      <x:c r="N664" s="2" t="str">
        <x:f>VLOOKUP(M664,'분류기준'!$A$5:$B$8,2,FALSE)</x:f>
        <x:v>암/건강보험</x:v>
      </x:c>
      <x:c r="O664" s="2" t="str">
        <x:v>표적항암약물허가치료 특약</x:v>
      </x:c>
      <x:c r="P664" s="2" t="str">
        <x:f>IF(O664="선택 안함","선택 안함",IF(O664="특약 없음","특약 없음","가입"))</x:f>
        <x:v>가입</x:v>
      </x:c>
      <x:c r="Q664" s="2" t="str">
        <x:f>IF(P664="가입","가입","미가입")</x:f>
        <x:v>가입</x:v>
      </x:c>
    </x:row>
    <x:row r="665" ht="23" customHeight="1">
      <x:c r="A665" s="2" t="str">
        <x:v>C0351</x:v>
      </x:c>
      <x:c r="B665" s="7" t="n">
        <x:v>50</x:v>
      </x:c>
      <x:c r="C665" s="2" t="str">
        <x:f>INT(B665/10)*10&amp;"대"</x:f>
        <x:v>50대</x:v>
      </x:c>
      <x:c r="D665" s="2" t="str">
        <x:v>여성</x:v>
      </x:c>
      <x:c r="E665" s="7" t="n">
        <x:v>6000</x:v>
      </x:c>
      <x:c r="F665" s="7" t="n">
        <x:v>1</x:v>
      </x:c>
      <x:c r="G665" s="2" t="str">
        <x:v>기혼</x:v>
      </x:c>
      <x:c r="H665" s="7" t="n">
        <x:v>1</x:v>
      </x:c>
      <x:c r="I665" s="2" t="str">
        <x:f>IF(H665&lt;3,H665&amp;"명","3명 이상")</x:f>
        <x:v>1명</x:v>
      </x:c>
      <x:c r="J665" s="2" t="str">
        <x:v>비흡연</x:v>
      </x:c>
      <x:c r="K665" s="2" t="str">
        <x:v>없음</x:v>
      </x:c>
      <x:c r="L665" s="2" t="str">
        <x:v>없음</x:v>
      </x:c>
      <x:c r="M665" s="2" t="str">
        <x:v>수호천사 우리가족 종신보험</x:v>
      </x:c>
      <x:c r="N665" s="2" t="str">
        <x:f>VLOOKUP(M665,'분류기준'!$A$5:$B$8,2,FALSE)</x:f>
        <x:v>종신보험</x:v>
      </x:c>
      <x:c r="O665" s="2" t="str">
        <x:v>가족 수입 보장 특약</x:v>
      </x:c>
      <x:c r="P665" s="2" t="str">
        <x:f>IF(O665="선택 안함","선택 안함",IF(O665="특약 없음","특약 없음","가입"))</x:f>
        <x:v>가입</x:v>
      </x:c>
      <x:c r="Q665" s="2" t="str">
        <x:f>IF(P665="가입","가입","미가입")</x:f>
        <x:v>가입</x:v>
      </x:c>
    </x:row>
    <x:row r="666" ht="23" customHeight="1">
      <x:c r="A666" s="2" t="str">
        <x:v>C0471</x:v>
      </x:c>
      <x:c r="B666" s="7" t="n">
        <x:v>50</x:v>
      </x:c>
      <x:c r="C666" s="2" t="str">
        <x:f>INT(B666/10)*10&amp;"대"</x:f>
        <x:v>50대</x:v>
      </x:c>
      <x:c r="D666" s="2" t="str">
        <x:v>남성</x:v>
      </x:c>
      <x:c r="E666" s="7" t="n">
        <x:v>3000</x:v>
      </x:c>
      <x:c r="F666" s="7" t="n">
        <x:v>1</x:v>
      </x:c>
      <x:c r="G666" s="2" t="str">
        <x:v>기혼</x:v>
      </x:c>
      <x:c r="H666" s="7" t="n">
        <x:v>1</x:v>
      </x:c>
      <x:c r="I666" s="2" t="str">
        <x:f>IF(H666&lt;3,H666&amp;"명","3명 이상")</x:f>
        <x:v>1명</x:v>
      </x:c>
      <x:c r="J666" s="2" t="str">
        <x:v>비흡연</x:v>
      </x:c>
      <x:c r="K666" s="2" t="str">
        <x:v>없음</x:v>
      </x:c>
      <x:c r="L666" s="2" t="str">
        <x:v>암</x:v>
      </x:c>
      <x:c r="M666" s="2" t="str">
        <x:v>수호천사 우리가족 종신보험</x:v>
      </x:c>
      <x:c r="N666" s="2" t="str">
        <x:f>VLOOKUP(M666,'분류기준'!$A$5:$B$8,2,FALSE)</x:f>
        <x:v>종신보험</x:v>
      </x:c>
      <x:c r="O666" s="2" t="str">
        <x:v>가족 수입 보장 특약</x:v>
      </x:c>
      <x:c r="P666" s="2" t="str">
        <x:f>IF(O666="선택 안함","선택 안함",IF(O666="특약 없음","특약 없음","가입"))</x:f>
        <x:v>가입</x:v>
      </x:c>
      <x:c r="Q666" s="2" t="str">
        <x:f>IF(P666="가입","가입","미가입")</x:f>
        <x:v>가입</x:v>
      </x:c>
    </x:row>
    <x:row r="667" ht="23" customHeight="1">
      <x:c r="A667" s="2" t="str">
        <x:v>C0505</x:v>
      </x:c>
      <x:c r="B667" s="7" t="n">
        <x:v>50</x:v>
      </x:c>
      <x:c r="C667" s="2" t="str">
        <x:f>INT(B667/10)*10&amp;"대"</x:f>
        <x:v>50대</x:v>
      </x:c>
      <x:c r="D667" s="2" t="str">
        <x:v>남성</x:v>
      </x:c>
      <x:c r="E667" s="7" t="n">
        <x:v>3000</x:v>
      </x:c>
      <x:c r="F667" s="7" t="n">
        <x:v>1</x:v>
      </x:c>
      <x:c r="G667" s="2" t="str">
        <x:v>기혼</x:v>
      </x:c>
      <x:c r="H667" s="7" t="n">
        <x:v>0</x:v>
      </x:c>
      <x:c r="I667" s="2" t="str">
        <x:f>IF(H667&lt;3,H667&amp;"명","3명 이상")</x:f>
        <x:v>0명</x:v>
      </x:c>
      <x:c r="J667" s="2" t="str">
        <x:v>비흡연</x:v>
      </x:c>
      <x:c r="K667" s="2" t="str">
        <x:v>고혈압</x:v>
      </x:c>
      <x:c r="L667" s="2" t="str">
        <x:v>없음</x:v>
      </x:c>
      <x:c r="M667" s="2" t="str">
        <x:v>수호천사 간편심사(유병자)보험</x:v>
      </x:c>
      <x:c r="N667" s="2" t="str">
        <x:f>VLOOKUP(M667,'분류기준'!$A$5:$B$8,2,FALSE)</x:f>
        <x:v>간편심사보험</x:v>
      </x:c>
      <x:c r="O667" s="2" t="str">
        <x:v>중증질환 산정특례 보장 특약</x:v>
      </x:c>
      <x:c r="P667" s="2" t="str">
        <x:f>IF(O667="선택 안함","선택 안함",IF(O667="특약 없음","특약 없음","가입"))</x:f>
        <x:v>가입</x:v>
      </x:c>
      <x:c r="Q667" s="2" t="str">
        <x:f>IF(P667="가입","가입","미가입")</x:f>
        <x:v>가입</x:v>
      </x:c>
    </x:row>
    <x:row r="668" ht="23" customHeight="1">
      <x:c r="A668" s="2" t="str">
        <x:v>C0564</x:v>
      </x:c>
      <x:c r="B668" s="7" t="n">
        <x:v>50</x:v>
      </x:c>
      <x:c r="C668" s="2" t="str">
        <x:f>INT(B668/10)*10&amp;"대"</x:f>
        <x:v>50대</x:v>
      </x:c>
      <x:c r="D668" s="2" t="str">
        <x:v>여성</x:v>
      </x:c>
      <x:c r="E668" s="7" t="n">
        <x:v>5000</x:v>
      </x:c>
      <x:c r="F668" s="7" t="n">
        <x:v>1</x:v>
      </x:c>
      <x:c r="G668" s="2" t="str">
        <x:v>기혼</x:v>
      </x:c>
      <x:c r="H668" s="7" t="n">
        <x:v>2</x:v>
      </x:c>
      <x:c r="I668" s="2" t="str">
        <x:f>IF(H668&lt;3,H668&amp;"명","3명 이상")</x:f>
        <x:v>2명</x:v>
      </x:c>
      <x:c r="J668" s="2" t="str">
        <x:v>비흡연</x:v>
      </x:c>
      <x:c r="K668" s="2" t="str">
        <x:v>없음</x:v>
      </x:c>
      <x:c r="L668" s="2" t="str">
        <x:v>암</x:v>
      </x:c>
      <x:c r="M668" s="2" t="str">
        <x:v>수호천사 암/건강보험</x:v>
      </x:c>
      <x:c r="N668" s="2" t="str">
        <x:f>VLOOKUP(M668,'분류기준'!$A$5:$B$8,2,FALSE)</x:f>
        <x:v>암/건강보험</x:v>
      </x:c>
      <x:c r="O668" s="2" t="str">
        <x:v>표적항암약물허가치료 특약</x:v>
      </x:c>
      <x:c r="P668" s="2" t="str">
        <x:f>IF(O668="선택 안함","선택 안함",IF(O668="특약 없음","특약 없음","가입"))</x:f>
        <x:v>가입</x:v>
      </x:c>
      <x:c r="Q668" s="2" t="str">
        <x:f>IF(P668="가입","가입","미가입")</x:f>
        <x:v>가입</x:v>
      </x:c>
    </x:row>
    <x:row r="669" ht="23" customHeight="1">
      <x:c r="A669" s="2" t="str">
        <x:v>C0580</x:v>
      </x:c>
      <x:c r="B669" s="7" t="n">
        <x:v>50</x:v>
      </x:c>
      <x:c r="C669" s="2" t="str">
        <x:f>INT(B669/10)*10&amp;"대"</x:f>
        <x:v>50대</x:v>
      </x:c>
      <x:c r="D669" s="2" t="str">
        <x:v>여성</x:v>
      </x:c>
      <x:c r="E669" s="7" t="n">
        <x:v>4000</x:v>
      </x:c>
      <x:c r="F669" s="7" t="n">
        <x:v>1</x:v>
      </x:c>
      <x:c r="G669" s="2" t="str">
        <x:v>기혼</x:v>
      </x:c>
      <x:c r="H669" s="7" t="n">
        <x:v>1</x:v>
      </x:c>
      <x:c r="I669" s="2" t="str">
        <x:f>IF(H669&lt;3,H669&amp;"명","3명 이상")</x:f>
        <x:v>1명</x:v>
      </x:c>
      <x:c r="J669" s="2" t="str">
        <x:v>비흡연</x:v>
      </x:c>
      <x:c r="K669" s="2" t="str">
        <x:v>없음</x:v>
      </x:c>
      <x:c r="L669" s="2" t="str">
        <x:v>암</x:v>
      </x:c>
      <x:c r="M669" s="2" t="str">
        <x:v>수호천사 암/건강보험</x:v>
      </x:c>
      <x:c r="N669" s="2" t="str">
        <x:f>VLOOKUP(M669,'분류기준'!$A$5:$B$8,2,FALSE)</x:f>
        <x:v>암/건강보험</x:v>
      </x:c>
      <x:c r="O669" s="2" t="str">
        <x:v>표적항암약물허가치료 특약</x:v>
      </x:c>
      <x:c r="P669" s="2" t="str">
        <x:f>IF(O669="선택 안함","선택 안함",IF(O669="특약 없음","특약 없음","가입"))</x:f>
        <x:v>가입</x:v>
      </x:c>
      <x:c r="Q669" s="2" t="str">
        <x:f>IF(P669="가입","가입","미가입")</x:f>
        <x:v>가입</x:v>
      </x:c>
    </x:row>
    <x:row r="670" ht="23" customHeight="1">
      <x:c r="A670" s="2" t="str">
        <x:v>C0618</x:v>
      </x:c>
      <x:c r="B670" s="7" t="n">
        <x:v>50</x:v>
      </x:c>
      <x:c r="C670" s="2" t="str">
        <x:f>INT(B670/10)*10&amp;"대"</x:f>
        <x:v>50대</x:v>
      </x:c>
      <x:c r="D670" s="2" t="str">
        <x:v>여성</x:v>
      </x:c>
      <x:c r="E670" s="7" t="n">
        <x:v>9000</x:v>
      </x:c>
      <x:c r="F670" s="7" t="n">
        <x:v>2</x:v>
      </x:c>
      <x:c r="G670" s="2" t="str">
        <x:v>미혼</x:v>
      </x:c>
      <x:c r="H670" s="7" t="n">
        <x:v>0</x:v>
      </x:c>
      <x:c r="I670" s="2" t="str">
        <x:f>IF(H670&lt;3,H670&amp;"명","3명 이상")</x:f>
        <x:v>0명</x:v>
      </x:c>
      <x:c r="J670" s="2" t="str">
        <x:v>비흡연</x:v>
      </x:c>
      <x:c r="K670" s="2" t="str">
        <x:v>없음</x:v>
      </x:c>
      <x:c r="L670" s="2" t="str">
        <x:v>암</x:v>
      </x:c>
      <x:c r="M670" s="2" t="str">
        <x:v>수호천사 암/건강보험</x:v>
      </x:c>
      <x:c r="N670" s="2" t="str">
        <x:f>VLOOKUP(M670,'분류기준'!$A$5:$B$8,2,FALSE)</x:f>
        <x:v>암/건강보험</x:v>
      </x:c>
      <x:c r="O670" s="2" t="str">
        <x:v>선택 안함</x:v>
      </x:c>
      <x:c r="P670" s="2" t="str">
        <x:f>IF(O670="선택 안함","선택 안함",IF(O670="특약 없음","특약 없음","가입"))</x:f>
        <x:v>선택 안함</x:v>
      </x:c>
      <x:c r="Q670" s="2" t="str">
        <x:f>IF(P670="가입","가입","미가입")</x:f>
        <x:v>미가입</x:v>
      </x:c>
    </x:row>
    <x:row r="671" ht="23" customHeight="1">
      <x:c r="A671" s="2" t="str">
        <x:v>C0661</x:v>
      </x:c>
      <x:c r="B671" s="7" t="n">
        <x:v>50</x:v>
      </x:c>
      <x:c r="C671" s="2" t="str">
        <x:f>INT(B671/10)*10&amp;"대"</x:f>
        <x:v>50대</x:v>
      </x:c>
      <x:c r="D671" s="2" t="str">
        <x:v>여성</x:v>
      </x:c>
      <x:c r="E671" s="7" t="n">
        <x:v>3000</x:v>
      </x:c>
      <x:c r="F671" s="7" t="n">
        <x:v>1</x:v>
      </x:c>
      <x:c r="G671" s="2" t="str">
        <x:v>기혼</x:v>
      </x:c>
      <x:c r="H671" s="7" t="n">
        <x:v>1</x:v>
      </x:c>
      <x:c r="I671" s="2" t="str">
        <x:f>IF(H671&lt;3,H671&amp;"명","3명 이상")</x:f>
        <x:v>1명</x:v>
      </x:c>
      <x:c r="J671" s="2" t="str">
        <x:v>비흡연</x:v>
      </x:c>
      <x:c r="K671" s="2" t="str">
        <x:v>없음</x:v>
      </x:c>
      <x:c r="L671" s="2" t="str">
        <x:v>암</x:v>
      </x:c>
      <x:c r="M671" s="2" t="str">
        <x:v>수호천사 행복 연금보험</x:v>
      </x:c>
      <x:c r="N671" s="2" t="str">
        <x:f>VLOOKUP(M671,'분류기준'!$A$5:$B$8,2,FALSE)</x:f>
        <x:v>연금보험</x:v>
      </x:c>
      <x:c r="O671" s="2" t="str">
        <x:v>특약 없음</x:v>
      </x:c>
      <x:c r="P671" s="2" t="str">
        <x:f>IF(O671="선택 안함","선택 안함",IF(O671="특약 없음","특약 없음","가입"))</x:f>
        <x:v>특약 없음</x:v>
      </x:c>
      <x:c r="Q671" s="2" t="str">
        <x:f>IF(P671="가입","가입","미가입")</x:f>
        <x:v>미가입</x:v>
      </x:c>
    </x:row>
    <x:row r="672" ht="23" customHeight="1">
      <x:c r="A672" s="2" t="str">
        <x:v>C0727</x:v>
      </x:c>
      <x:c r="B672" s="7" t="n">
        <x:v>50</x:v>
      </x:c>
      <x:c r="C672" s="2" t="str">
        <x:f>INT(B672/10)*10&amp;"대"</x:f>
        <x:v>50대</x:v>
      </x:c>
      <x:c r="D672" s="2" t="str">
        <x:v>남성</x:v>
      </x:c>
      <x:c r="E672" s="7" t="n">
        <x:v>6000</x:v>
      </x:c>
      <x:c r="F672" s="7" t="n">
        <x:v>3</x:v>
      </x:c>
      <x:c r="G672" s="2" t="str">
        <x:v>기혼</x:v>
      </x:c>
      <x:c r="H672" s="7" t="n">
        <x:v>2</x:v>
      </x:c>
      <x:c r="I672" s="2" t="str">
        <x:f>IF(H672&lt;3,H672&amp;"명","3명 이상")</x:f>
        <x:v>2명</x:v>
      </x:c>
      <x:c r="J672" s="2" t="str">
        <x:v>비흡연</x:v>
      </x:c>
      <x:c r="K672" s="2" t="str">
        <x:v>없음</x:v>
      </x:c>
      <x:c r="L672" s="2" t="str">
        <x:v>암</x:v>
      </x:c>
      <x:c r="M672" s="2" t="str">
        <x:v>수호천사 암/건강보험</x:v>
      </x:c>
      <x:c r="N672" s="2" t="str">
        <x:f>VLOOKUP(M672,'분류기준'!$A$5:$B$8,2,FALSE)</x:f>
        <x:v>암/건강보험</x:v>
      </x:c>
      <x:c r="O672" s="2" t="str">
        <x:v>표적항암약물허가치료 특약</x:v>
      </x:c>
      <x:c r="P672" s="2" t="str">
        <x:f>IF(O672="선택 안함","선택 안함",IF(O672="특약 없음","특약 없음","가입"))</x:f>
        <x:v>가입</x:v>
      </x:c>
      <x:c r="Q672" s="2" t="str">
        <x:f>IF(P672="가입","가입","미가입")</x:f>
        <x:v>가입</x:v>
      </x:c>
    </x:row>
    <x:row r="673" ht="23" customHeight="1">
      <x:c r="A673" s="2" t="str">
        <x:v>C0751</x:v>
      </x:c>
      <x:c r="B673" s="7" t="n">
        <x:v>50</x:v>
      </x:c>
      <x:c r="C673" s="2" t="str">
        <x:f>INT(B673/10)*10&amp;"대"</x:f>
        <x:v>50대</x:v>
      </x:c>
      <x:c r="D673" s="2" t="str">
        <x:v>여성</x:v>
      </x:c>
      <x:c r="E673" s="7" t="n">
        <x:v>4000</x:v>
      </x:c>
      <x:c r="F673" s="7" t="n">
        <x:v>1</x:v>
      </x:c>
      <x:c r="G673" s="2" t="str">
        <x:v>미혼</x:v>
      </x:c>
      <x:c r="H673" s="7" t="n">
        <x:v>0</x:v>
      </x:c>
      <x:c r="I673" s="2" t="str">
        <x:f>IF(H673&lt;3,H673&amp;"명","3명 이상")</x:f>
        <x:v>0명</x:v>
      </x:c>
      <x:c r="J673" s="2" t="str">
        <x:v>비흡연</x:v>
      </x:c>
      <x:c r="K673" s="2" t="str">
        <x:v>없음</x:v>
      </x:c>
      <x:c r="L673" s="2" t="str">
        <x:v>없음</x:v>
      </x:c>
      <x:c r="M673" s="2" t="str">
        <x:v>수호천사 행복 연금보험</x:v>
      </x:c>
      <x:c r="N673" s="2" t="str">
        <x:f>VLOOKUP(M673,'분류기준'!$A$5:$B$8,2,FALSE)</x:f>
        <x:v>연금보험</x:v>
      </x:c>
      <x:c r="O673" s="2" t="str">
        <x:v>특약 없음</x:v>
      </x:c>
      <x:c r="P673" s="2" t="str">
        <x:f>IF(O673="선택 안함","선택 안함",IF(O673="특약 없음","특약 없음","가입"))</x:f>
        <x:v>특약 없음</x:v>
      </x:c>
      <x:c r="Q673" s="2" t="str">
        <x:f>IF(P673="가입","가입","미가입")</x:f>
        <x:v>미가입</x:v>
      </x:c>
    </x:row>
    <x:row r="674" ht="23" customHeight="1">
      <x:c r="A674" s="2" t="str">
        <x:v>C0807</x:v>
      </x:c>
      <x:c r="B674" s="7" t="n">
        <x:v>50</x:v>
      </x:c>
      <x:c r="C674" s="2" t="str">
        <x:f>INT(B674/10)*10&amp;"대"</x:f>
        <x:v>50대</x:v>
      </x:c>
      <x:c r="D674" s="2" t="str">
        <x:v>여성</x:v>
      </x:c>
      <x:c r="E674" s="7" t="n">
        <x:v>4000</x:v>
      </x:c>
      <x:c r="F674" s="7" t="n">
        <x:v>1</x:v>
      </x:c>
      <x:c r="G674" s="2" t="str">
        <x:v>미혼</x:v>
      </x:c>
      <x:c r="H674" s="7" t="n">
        <x:v>0</x:v>
      </x:c>
      <x:c r="I674" s="2" t="str">
        <x:f>IF(H674&lt;3,H674&amp;"명","3명 이상")</x:f>
        <x:v>0명</x:v>
      </x:c>
      <x:c r="J674" s="2" t="str">
        <x:v>흡연</x:v>
      </x:c>
      <x:c r="K674" s="2" t="str">
        <x:v>없음</x:v>
      </x:c>
      <x:c r="L674" s="2" t="str">
        <x:v>암</x:v>
      </x:c>
      <x:c r="M674" s="2" t="str">
        <x:v>수호천사 행복 연금보험</x:v>
      </x:c>
      <x:c r="N674" s="2" t="str">
        <x:f>VLOOKUP(M674,'분류기준'!$A$5:$B$8,2,FALSE)</x:f>
        <x:v>연금보험</x:v>
      </x:c>
      <x:c r="O674" s="2" t="str">
        <x:v>특약 없음</x:v>
      </x:c>
      <x:c r="P674" s="2" t="str">
        <x:f>IF(O674="선택 안함","선택 안함",IF(O674="특약 없음","특약 없음","가입"))</x:f>
        <x:v>특약 없음</x:v>
      </x:c>
      <x:c r="Q674" s="2" t="str">
        <x:f>IF(P674="가입","가입","미가입")</x:f>
        <x:v>미가입</x:v>
      </x:c>
    </x:row>
    <x:row r="675" ht="23" customHeight="1">
      <x:c r="A675" s="2" t="str">
        <x:v>C0920</x:v>
      </x:c>
      <x:c r="B675" s="7" t="n">
        <x:v>50</x:v>
      </x:c>
      <x:c r="C675" s="2" t="str">
        <x:f>INT(B675/10)*10&amp;"대"</x:f>
        <x:v>50대</x:v>
      </x:c>
      <x:c r="D675" s="2" t="str">
        <x:v>남성</x:v>
      </x:c>
      <x:c r="E675" s="7" t="n">
        <x:v>5000</x:v>
      </x:c>
      <x:c r="F675" s="7" t="n">
        <x:v>1</x:v>
      </x:c>
      <x:c r="G675" s="2" t="str">
        <x:v>미혼</x:v>
      </x:c>
      <x:c r="H675" s="7" t="n">
        <x:v>0</x:v>
      </x:c>
      <x:c r="I675" s="2" t="str">
        <x:f>IF(H675&lt;3,H675&amp;"명","3명 이상")</x:f>
        <x:v>0명</x:v>
      </x:c>
      <x:c r="J675" s="2" t="str">
        <x:v>비흡연</x:v>
      </x:c>
      <x:c r="K675" s="2" t="str">
        <x:v>고혈압</x:v>
      </x:c>
      <x:c r="L675" s="2" t="str">
        <x:v>없음</x:v>
      </x:c>
      <x:c r="M675" s="2" t="str">
        <x:v>수호천사 행복 연금보험</x:v>
      </x:c>
      <x:c r="N675" s="2" t="str">
        <x:f>VLOOKUP(M675,'분류기준'!$A$5:$B$8,2,FALSE)</x:f>
        <x:v>연금보험</x:v>
      </x:c>
      <x:c r="O675" s="2" t="str">
        <x:v>특약 없음</x:v>
      </x:c>
      <x:c r="P675" s="2" t="str">
        <x:f>IF(O675="선택 안함","선택 안함",IF(O675="특약 없음","특약 없음","가입"))</x:f>
        <x:v>특약 없음</x:v>
      </x:c>
      <x:c r="Q675" s="2" t="str">
        <x:f>IF(P675="가입","가입","미가입")</x:f>
        <x:v>미가입</x:v>
      </x:c>
    </x:row>
    <x:row r="676" ht="23" customHeight="1">
      <x:c r="A676" s="2" t="str">
        <x:v>C0924</x:v>
      </x:c>
      <x:c r="B676" s="7" t="n">
        <x:v>50</x:v>
      </x:c>
      <x:c r="C676" s="2" t="str">
        <x:f>INT(B676/10)*10&amp;"대"</x:f>
        <x:v>50대</x:v>
      </x:c>
      <x:c r="D676" s="2" t="str">
        <x:v>여성</x:v>
      </x:c>
      <x:c r="E676" s="7" t="n">
        <x:v>4000</x:v>
      </x:c>
      <x:c r="F676" s="7" t="n">
        <x:v>2</x:v>
      </x:c>
      <x:c r="G676" s="2" t="str">
        <x:v>미혼</x:v>
      </x:c>
      <x:c r="H676" s="7" t="n">
        <x:v>0</x:v>
      </x:c>
      <x:c r="I676" s="2" t="str">
        <x:f>IF(H676&lt;3,H676&amp;"명","3명 이상")</x:f>
        <x:v>0명</x:v>
      </x:c>
      <x:c r="J676" s="2" t="str">
        <x:v>흡연</x:v>
      </x:c>
      <x:c r="K676" s="2" t="str">
        <x:v>없음</x:v>
      </x:c>
      <x:c r="L676" s="2" t="str">
        <x:v>없음</x:v>
      </x:c>
      <x:c r="M676" s="2" t="str">
        <x:v>수호천사 행복 연금보험</x:v>
      </x:c>
      <x:c r="N676" s="2" t="str">
        <x:f>VLOOKUP(M676,'분류기준'!$A$5:$B$8,2,FALSE)</x:f>
        <x:v>연금보험</x:v>
      </x:c>
      <x:c r="O676" s="2" t="str">
        <x:v>특약 없음</x:v>
      </x:c>
      <x:c r="P676" s="2" t="str">
        <x:f>IF(O676="선택 안함","선택 안함",IF(O676="특약 없음","특약 없음","가입"))</x:f>
        <x:v>특약 없음</x:v>
      </x:c>
      <x:c r="Q676" s="2" t="str">
        <x:f>IF(P676="가입","가입","미가입")</x:f>
        <x:v>미가입</x:v>
      </x:c>
    </x:row>
    <x:row r="677" ht="23" customHeight="1">
      <x:c r="A677" s="2" t="str">
        <x:v>C0929</x:v>
      </x:c>
      <x:c r="B677" s="7" t="n">
        <x:v>50</x:v>
      </x:c>
      <x:c r="C677" s="2" t="str">
        <x:f>INT(B677/10)*10&amp;"대"</x:f>
        <x:v>50대</x:v>
      </x:c>
      <x:c r="D677" s="2" t="str">
        <x:v>남성</x:v>
      </x:c>
      <x:c r="E677" s="7" t="n">
        <x:v>6000</x:v>
      </x:c>
      <x:c r="F677" s="7" t="n">
        <x:v>2</x:v>
      </x:c>
      <x:c r="G677" s="2" t="str">
        <x:v>기혼</x:v>
      </x:c>
      <x:c r="H677" s="7" t="n">
        <x:v>2</x:v>
      </x:c>
      <x:c r="I677" s="2" t="str">
        <x:f>IF(H677&lt;3,H677&amp;"명","3명 이상")</x:f>
        <x:v>2명</x:v>
      </x:c>
      <x:c r="J677" s="2" t="str">
        <x:v>비흡연</x:v>
      </x:c>
      <x:c r="K677" s="2" t="str">
        <x:v>당뇨</x:v>
      </x:c>
      <x:c r="L677" s="2" t="str">
        <x:v>암</x:v>
      </x:c>
      <x:c r="M677" s="2" t="str">
        <x:v>수호천사 간편심사(유병자)보험</x:v>
      </x:c>
      <x:c r="N677" s="2" t="str">
        <x:f>VLOOKUP(M677,'분류기준'!$A$5:$B$8,2,FALSE)</x:f>
        <x:v>간편심사보험</x:v>
      </x:c>
      <x:c r="O677" s="2" t="str">
        <x:v>중증질환 산정특례 보장 특약</x:v>
      </x:c>
      <x:c r="P677" s="2" t="str">
        <x:f>IF(O677="선택 안함","선택 안함",IF(O677="특약 없음","특약 없음","가입"))</x:f>
        <x:v>가입</x:v>
      </x:c>
      <x:c r="Q677" s="2" t="str">
        <x:f>IF(P677="가입","가입","미가입")</x:f>
        <x:v>가입</x:v>
      </x:c>
    </x:row>
    <x:row r="678" ht="23" customHeight="1">
      <x:c r="A678" s="2" t="str">
        <x:v>C0989</x:v>
      </x:c>
      <x:c r="B678" s="7" t="n">
        <x:v>50</x:v>
      </x:c>
      <x:c r="C678" s="2" t="str">
        <x:f>INT(B678/10)*10&amp;"대"</x:f>
        <x:v>50대</x:v>
      </x:c>
      <x:c r="D678" s="2" t="str">
        <x:v>여성</x:v>
      </x:c>
      <x:c r="E678" s="7" t="n">
        <x:v>4000</x:v>
      </x:c>
      <x:c r="F678" s="7" t="n">
        <x:v>1</x:v>
      </x:c>
      <x:c r="G678" s="2" t="str">
        <x:v>기혼</x:v>
      </x:c>
      <x:c r="H678" s="7" t="n">
        <x:v>2</x:v>
      </x:c>
      <x:c r="I678" s="2" t="str">
        <x:f>IF(H678&lt;3,H678&amp;"명","3명 이상")</x:f>
        <x:v>2명</x:v>
      </x:c>
      <x:c r="J678" s="2" t="str">
        <x:v>비흡연</x:v>
      </x:c>
      <x:c r="K678" s="2" t="str">
        <x:v>없음</x:v>
      </x:c>
      <x:c r="L678" s="2" t="str">
        <x:v>없음</x:v>
      </x:c>
      <x:c r="M678" s="2" t="str">
        <x:v>수호천사 우리가족 종신보험</x:v>
      </x:c>
      <x:c r="N678" s="2" t="str">
        <x:f>VLOOKUP(M678,'분류기준'!$A$5:$B$8,2,FALSE)</x:f>
        <x:v>종신보험</x:v>
      </x:c>
      <x:c r="O678" s="2" t="str">
        <x:v>가족 수입 보장 특약</x:v>
      </x:c>
      <x:c r="P678" s="2" t="str">
        <x:f>IF(O678="선택 안함","선택 안함",IF(O678="특약 없음","특약 없음","가입"))</x:f>
        <x:v>가입</x:v>
      </x:c>
      <x:c r="Q678" s="2" t="str">
        <x:f>IF(P678="가입","가입","미가입")</x:f>
        <x:v>가입</x:v>
      </x:c>
    </x:row>
    <x:row r="679" ht="23" customHeight="1">
      <x:c r="A679" s="2" t="str">
        <x:v>C0142</x:v>
      </x:c>
      <x:c r="B679" s="7" t="n">
        <x:v>51</x:v>
      </x:c>
      <x:c r="C679" s="2" t="str">
        <x:f>INT(B679/10)*10&amp;"대"</x:f>
        <x:v>50대</x:v>
      </x:c>
      <x:c r="D679" s="2" t="str">
        <x:v>남성</x:v>
      </x:c>
      <x:c r="E679" s="7" t="n">
        <x:v>4000</x:v>
      </x:c>
      <x:c r="F679" s="7" t="n">
        <x:v>1</x:v>
      </x:c>
      <x:c r="G679" s="2" t="str">
        <x:v>기혼</x:v>
      </x:c>
      <x:c r="H679" s="7" t="n">
        <x:v>0</x:v>
      </x:c>
      <x:c r="I679" s="2" t="str">
        <x:f>IF(H679&lt;3,H679&amp;"명","3명 이상")</x:f>
        <x:v>0명</x:v>
      </x:c>
      <x:c r="J679" s="2" t="str">
        <x:v>흡연</x:v>
      </x:c>
      <x:c r="K679" s="2" t="str">
        <x:v>고혈압</x:v>
      </x:c>
      <x:c r="L679" s="2" t="str">
        <x:v>없음</x:v>
      </x:c>
      <x:c r="M679" s="2" t="str">
        <x:v>수호천사 간편심사(유병자)보험</x:v>
      </x:c>
      <x:c r="N679" s="2" t="str">
        <x:f>VLOOKUP(M679,'분류기준'!$A$5:$B$8,2,FALSE)</x:f>
        <x:v>간편심사보험</x:v>
      </x:c>
      <x:c r="O679" s="2" t="str">
        <x:v>중증질환 산정특례 보장 특약</x:v>
      </x:c>
      <x:c r="P679" s="2" t="str">
        <x:f>IF(O679="선택 안함","선택 안함",IF(O679="특약 없음","특약 없음","가입"))</x:f>
        <x:v>가입</x:v>
      </x:c>
      <x:c r="Q679" s="2" t="str">
        <x:f>IF(P679="가입","가입","미가입")</x:f>
        <x:v>가입</x:v>
      </x:c>
    </x:row>
    <x:row r="680" ht="23" customHeight="1">
      <x:c r="A680" s="2" t="str">
        <x:v>C0144</x:v>
      </x:c>
      <x:c r="B680" s="7" t="n">
        <x:v>51</x:v>
      </x:c>
      <x:c r="C680" s="2" t="str">
        <x:f>INT(B680/10)*10&amp;"대"</x:f>
        <x:v>50대</x:v>
      </x:c>
      <x:c r="D680" s="2" t="str">
        <x:v>남성</x:v>
      </x:c>
      <x:c r="E680" s="7" t="n">
        <x:v>6000</x:v>
      </x:c>
      <x:c r="F680" s="7" t="n">
        <x:v>1</x:v>
      </x:c>
      <x:c r="G680" s="2" t="str">
        <x:v>기혼</x:v>
      </x:c>
      <x:c r="H680" s="7" t="n">
        <x:v>0</x:v>
      </x:c>
      <x:c r="I680" s="2" t="str">
        <x:f>IF(H680&lt;3,H680&amp;"명","3명 이상")</x:f>
        <x:v>0명</x:v>
      </x:c>
      <x:c r="J680" s="2" t="str">
        <x:v>비흡연</x:v>
      </x:c>
      <x:c r="K680" s="2" t="str">
        <x:v>없음</x:v>
      </x:c>
      <x:c r="L680" s="2" t="str">
        <x:v>심혈관</x:v>
      </x:c>
      <x:c r="M680" s="2" t="str">
        <x:v>수호천사 행복 연금보험</x:v>
      </x:c>
      <x:c r="N680" s="2" t="str">
        <x:f>VLOOKUP(M680,'분류기준'!$A$5:$B$8,2,FALSE)</x:f>
        <x:v>연금보험</x:v>
      </x:c>
      <x:c r="O680" s="2" t="str">
        <x:v>특약 없음</x:v>
      </x:c>
      <x:c r="P680" s="2" t="str">
        <x:f>IF(O680="선택 안함","선택 안함",IF(O680="특약 없음","특약 없음","가입"))</x:f>
        <x:v>특약 없음</x:v>
      </x:c>
      <x:c r="Q680" s="2" t="str">
        <x:f>IF(P680="가입","가입","미가입")</x:f>
        <x:v>미가입</x:v>
      </x:c>
    </x:row>
    <x:row r="681" ht="23" customHeight="1">
      <x:c r="A681" s="2" t="str">
        <x:v>C0156</x:v>
      </x:c>
      <x:c r="B681" s="7" t="n">
        <x:v>51</x:v>
      </x:c>
      <x:c r="C681" s="2" t="str">
        <x:f>INT(B681/10)*10&amp;"대"</x:f>
        <x:v>50대</x:v>
      </x:c>
      <x:c r="D681" s="2" t="str">
        <x:v>여성</x:v>
      </x:c>
      <x:c r="E681" s="7" t="n">
        <x:v>3000</x:v>
      </x:c>
      <x:c r="F681" s="7" t="n">
        <x:v>1</x:v>
      </x:c>
      <x:c r="G681" s="2" t="str">
        <x:v>기혼</x:v>
      </x:c>
      <x:c r="H681" s="7" t="n">
        <x:v>1</x:v>
      </x:c>
      <x:c r="I681" s="2" t="str">
        <x:f>IF(H681&lt;3,H681&amp;"명","3명 이상")</x:f>
        <x:v>1명</x:v>
      </x:c>
      <x:c r="J681" s="2" t="str">
        <x:v>비흡연</x:v>
      </x:c>
      <x:c r="K681" s="2" t="str">
        <x:v>고혈압</x:v>
      </x:c>
      <x:c r="L681" s="2" t="str">
        <x:v>없음</x:v>
      </x:c>
      <x:c r="M681" s="2" t="str">
        <x:v>수호천사 암/건강보험</x:v>
      </x:c>
      <x:c r="N681" s="2" t="str">
        <x:f>VLOOKUP(M681,'분류기준'!$A$5:$B$8,2,FALSE)</x:f>
        <x:v>암/건강보험</x:v>
      </x:c>
      <x:c r="O681" s="2" t="str">
        <x:v>표적항암약물허가치료 특약</x:v>
      </x:c>
      <x:c r="P681" s="2" t="str">
        <x:f>IF(O681="선택 안함","선택 안함",IF(O681="특약 없음","특약 없음","가입"))</x:f>
        <x:v>가입</x:v>
      </x:c>
      <x:c r="Q681" s="2" t="str">
        <x:f>IF(P681="가입","가입","미가입")</x:f>
        <x:v>가입</x:v>
      </x:c>
    </x:row>
    <x:row r="682" ht="23" customHeight="1">
      <x:c r="A682" s="2" t="str">
        <x:v>C0191</x:v>
      </x:c>
      <x:c r="B682" s="7" t="n">
        <x:v>51</x:v>
      </x:c>
      <x:c r="C682" s="2" t="str">
        <x:f>INT(B682/10)*10&amp;"대"</x:f>
        <x:v>50대</x:v>
      </x:c>
      <x:c r="D682" s="2" t="str">
        <x:v>여성</x:v>
      </x:c>
      <x:c r="E682" s="7" t="n">
        <x:v>4000</x:v>
      </x:c>
      <x:c r="F682" s="7" t="n">
        <x:v>1</x:v>
      </x:c>
      <x:c r="G682" s="2" t="str">
        <x:v>기혼</x:v>
      </x:c>
      <x:c r="H682" s="7" t="n">
        <x:v>1</x:v>
      </x:c>
      <x:c r="I682" s="2" t="str">
        <x:f>IF(H682&lt;3,H682&amp;"명","3명 이상")</x:f>
        <x:v>1명</x:v>
      </x:c>
      <x:c r="J682" s="2" t="str">
        <x:v>비흡연</x:v>
      </x:c>
      <x:c r="K682" s="2" t="str">
        <x:v>당뇨</x:v>
      </x:c>
      <x:c r="L682" s="2" t="str">
        <x:v>없음</x:v>
      </x:c>
      <x:c r="M682" s="2" t="str">
        <x:v>수호천사 간편심사(유병자)보험</x:v>
      </x:c>
      <x:c r="N682" s="2" t="str">
        <x:f>VLOOKUP(M682,'분류기준'!$A$5:$B$8,2,FALSE)</x:f>
        <x:v>간편심사보험</x:v>
      </x:c>
      <x:c r="O682" s="2" t="str">
        <x:v>중증질환 산정특례 보장 특약</x:v>
      </x:c>
      <x:c r="P682" s="2" t="str">
        <x:f>IF(O682="선택 안함","선택 안함",IF(O682="특약 없음","특약 없음","가입"))</x:f>
        <x:v>가입</x:v>
      </x:c>
      <x:c r="Q682" s="2" t="str">
        <x:f>IF(P682="가입","가입","미가입")</x:f>
        <x:v>가입</x:v>
      </x:c>
    </x:row>
    <x:row r="683" ht="23" customHeight="1">
      <x:c r="A683" s="2" t="str">
        <x:v>C0192</x:v>
      </x:c>
      <x:c r="B683" s="7" t="n">
        <x:v>51</x:v>
      </x:c>
      <x:c r="C683" s="2" t="str">
        <x:f>INT(B683/10)*10&amp;"대"</x:f>
        <x:v>50대</x:v>
      </x:c>
      <x:c r="D683" s="2" t="str">
        <x:v>남성</x:v>
      </x:c>
      <x:c r="E683" s="7" t="n">
        <x:v>5000</x:v>
      </x:c>
      <x:c r="F683" s="7" t="n">
        <x:v>2</x:v>
      </x:c>
      <x:c r="G683" s="2" t="str">
        <x:v>기혼</x:v>
      </x:c>
      <x:c r="H683" s="7" t="n">
        <x:v>1</x:v>
      </x:c>
      <x:c r="I683" s="2" t="str">
        <x:f>IF(H683&lt;3,H683&amp;"명","3명 이상")</x:f>
        <x:v>1명</x:v>
      </x:c>
      <x:c r="J683" s="2" t="str">
        <x:v>흡연</x:v>
      </x:c>
      <x:c r="K683" s="2" t="str">
        <x:v>없음</x:v>
      </x:c>
      <x:c r="L683" s="2" t="str">
        <x:v>없음</x:v>
      </x:c>
      <x:c r="M683" s="2" t="str">
        <x:v>수호천사 간편심사(유병자)보험</x:v>
      </x:c>
      <x:c r="N683" s="2" t="str">
        <x:f>VLOOKUP(M683,'분류기준'!$A$5:$B$8,2,FALSE)</x:f>
        <x:v>간편심사보험</x:v>
      </x:c>
      <x:c r="O683" s="2" t="str">
        <x:v>중증질환 산정특례 보장 특약</x:v>
      </x:c>
      <x:c r="P683" s="2" t="str">
        <x:f>IF(O683="선택 안함","선택 안함",IF(O683="특약 없음","특약 없음","가입"))</x:f>
        <x:v>가입</x:v>
      </x:c>
      <x:c r="Q683" s="2" t="str">
        <x:f>IF(P683="가입","가입","미가입")</x:f>
        <x:v>가입</x:v>
      </x:c>
    </x:row>
    <x:row r="684" ht="23" customHeight="1">
      <x:c r="A684" s="2" t="str">
        <x:v>C0206</x:v>
      </x:c>
      <x:c r="B684" s="7" t="n">
        <x:v>51</x:v>
      </x:c>
      <x:c r="C684" s="2" t="str">
        <x:f>INT(B684/10)*10&amp;"대"</x:f>
        <x:v>50대</x:v>
      </x:c>
      <x:c r="D684" s="2" t="str">
        <x:v>남성</x:v>
      </x:c>
      <x:c r="E684" s="7" t="n">
        <x:v>6000</x:v>
      </x:c>
      <x:c r="F684" s="7" t="n">
        <x:v>2</x:v>
      </x:c>
      <x:c r="G684" s="2" t="str">
        <x:v>기혼</x:v>
      </x:c>
      <x:c r="H684" s="7" t="n">
        <x:v>2</x:v>
      </x:c>
      <x:c r="I684" s="2" t="str">
        <x:f>IF(H684&lt;3,H684&amp;"명","3명 이상")</x:f>
        <x:v>2명</x:v>
      </x:c>
      <x:c r="J684" s="2" t="str">
        <x:v>흡연</x:v>
      </x:c>
      <x:c r="K684" s="2" t="str">
        <x:v>없음</x:v>
      </x:c>
      <x:c r="L684" s="2" t="str">
        <x:v>암</x:v>
      </x:c>
      <x:c r="M684" s="2" t="str">
        <x:v>수호천사 암/건강보험</x:v>
      </x:c>
      <x:c r="N684" s="2" t="str">
        <x:f>VLOOKUP(M684,'분류기준'!$A$5:$B$8,2,FALSE)</x:f>
        <x:v>암/건강보험</x:v>
      </x:c>
      <x:c r="O684" s="2" t="str">
        <x:v>표적항암약물허가치료 특약</x:v>
      </x:c>
      <x:c r="P684" s="2" t="str">
        <x:f>IF(O684="선택 안함","선택 안함",IF(O684="특약 없음","특약 없음","가입"))</x:f>
        <x:v>가입</x:v>
      </x:c>
      <x:c r="Q684" s="2" t="str">
        <x:f>IF(P684="가입","가입","미가입")</x:f>
        <x:v>가입</x:v>
      </x:c>
    </x:row>
    <x:row r="685" ht="23" customHeight="1">
      <x:c r="A685" s="2" t="str">
        <x:v>C0213</x:v>
      </x:c>
      <x:c r="B685" s="7" t="n">
        <x:v>51</x:v>
      </x:c>
      <x:c r="C685" s="2" t="str">
        <x:f>INT(B685/10)*10&amp;"대"</x:f>
        <x:v>50대</x:v>
      </x:c>
      <x:c r="D685" s="2" t="str">
        <x:v>여성</x:v>
      </x:c>
      <x:c r="E685" s="7" t="n">
        <x:v>5000</x:v>
      </x:c>
      <x:c r="F685" s="7" t="n">
        <x:v>1</x:v>
      </x:c>
      <x:c r="G685" s="2" t="str">
        <x:v>기혼</x:v>
      </x:c>
      <x:c r="H685" s="7" t="n">
        <x:v>2</x:v>
      </x:c>
      <x:c r="I685" s="2" t="str">
        <x:f>IF(H685&lt;3,H685&amp;"명","3명 이상")</x:f>
        <x:v>2명</x:v>
      </x:c>
      <x:c r="J685" s="2" t="str">
        <x:v>비흡연</x:v>
      </x:c>
      <x:c r="K685" s="2" t="str">
        <x:v>고혈압</x:v>
      </x:c>
      <x:c r="L685" s="2" t="str">
        <x:v>심혈관</x:v>
      </x:c>
      <x:c r="M685" s="2" t="str">
        <x:v>수호천사 암/건강보험</x:v>
      </x:c>
      <x:c r="N685" s="2" t="str">
        <x:f>VLOOKUP(M685,'분류기준'!$A$5:$B$8,2,FALSE)</x:f>
        <x:v>암/건강보험</x:v>
      </x:c>
      <x:c r="O685" s="2" t="str">
        <x:v>표적항암약물허가치료 특약</x:v>
      </x:c>
      <x:c r="P685" s="2" t="str">
        <x:f>IF(O685="선택 안함","선택 안함",IF(O685="특약 없음","특약 없음","가입"))</x:f>
        <x:v>가입</x:v>
      </x:c>
      <x:c r="Q685" s="2" t="str">
        <x:f>IF(P685="가입","가입","미가입")</x:f>
        <x:v>가입</x:v>
      </x:c>
    </x:row>
    <x:row r="686" ht="23" customHeight="1">
      <x:c r="A686" s="2" t="str">
        <x:v>C0215</x:v>
      </x:c>
      <x:c r="B686" s="7" t="n">
        <x:v>51</x:v>
      </x:c>
      <x:c r="C686" s="2" t="str">
        <x:f>INT(B686/10)*10&amp;"대"</x:f>
        <x:v>50대</x:v>
      </x:c>
      <x:c r="D686" s="2" t="str">
        <x:v>여성</x:v>
      </x:c>
      <x:c r="E686" s="7" t="n">
        <x:v>4000</x:v>
      </x:c>
      <x:c r="F686" s="7" t="n">
        <x:v>1</x:v>
      </x:c>
      <x:c r="G686" s="2" t="str">
        <x:v>미혼</x:v>
      </x:c>
      <x:c r="H686" s="7" t="n">
        <x:v>0</x:v>
      </x:c>
      <x:c r="I686" s="2" t="str">
        <x:f>IF(H686&lt;3,H686&amp;"명","3명 이상")</x:f>
        <x:v>0명</x:v>
      </x:c>
      <x:c r="J686" s="2" t="str">
        <x:v>비흡연</x:v>
      </x:c>
      <x:c r="K686" s="2" t="str">
        <x:v>없음</x:v>
      </x:c>
      <x:c r="L686" s="2" t="str">
        <x:v>없음</x:v>
      </x:c>
      <x:c r="M686" s="2" t="str">
        <x:v>수호천사 행복 연금보험</x:v>
      </x:c>
      <x:c r="N686" s="2" t="str">
        <x:f>VLOOKUP(M686,'분류기준'!$A$5:$B$8,2,FALSE)</x:f>
        <x:v>연금보험</x:v>
      </x:c>
      <x:c r="O686" s="2" t="str">
        <x:v>특약 없음</x:v>
      </x:c>
      <x:c r="P686" s="2" t="str">
        <x:f>IF(O686="선택 안함","선택 안함",IF(O686="특약 없음","특약 없음","가입"))</x:f>
        <x:v>특약 없음</x:v>
      </x:c>
      <x:c r="Q686" s="2" t="str">
        <x:f>IF(P686="가입","가입","미가입")</x:f>
        <x:v>미가입</x:v>
      </x:c>
    </x:row>
    <x:row r="687" ht="23" customHeight="1">
      <x:c r="A687" s="2" t="str">
        <x:v>C0240</x:v>
      </x:c>
      <x:c r="B687" s="7" t="n">
        <x:v>51</x:v>
      </x:c>
      <x:c r="C687" s="2" t="str">
        <x:f>INT(B687/10)*10&amp;"대"</x:f>
        <x:v>50대</x:v>
      </x:c>
      <x:c r="D687" s="2" t="str">
        <x:v>남성</x:v>
      </x:c>
      <x:c r="E687" s="7" t="n">
        <x:v>6000</x:v>
      </x:c>
      <x:c r="F687" s="7" t="n">
        <x:v>1</x:v>
      </x:c>
      <x:c r="G687" s="2" t="str">
        <x:v>기혼</x:v>
      </x:c>
      <x:c r="H687" s="7" t="n">
        <x:v>0</x:v>
      </x:c>
      <x:c r="I687" s="2" t="str">
        <x:f>IF(H687&lt;3,H687&amp;"명","3명 이상")</x:f>
        <x:v>0명</x:v>
      </x:c>
      <x:c r="J687" s="2" t="str">
        <x:v>비흡연</x:v>
      </x:c>
      <x:c r="K687" s="2" t="str">
        <x:v>없음</x:v>
      </x:c>
      <x:c r="L687" s="2" t="str">
        <x:v>없음</x:v>
      </x:c>
      <x:c r="M687" s="2" t="str">
        <x:v>수호천사 간편심사(유병자)보험</x:v>
      </x:c>
      <x:c r="N687" s="2" t="str">
        <x:f>VLOOKUP(M687,'분류기준'!$A$5:$B$8,2,FALSE)</x:f>
        <x:v>간편심사보험</x:v>
      </x:c>
      <x:c r="O687" s="2" t="str">
        <x:v>중증질환 산정특례 보장 특약</x:v>
      </x:c>
      <x:c r="P687" s="2" t="str">
        <x:f>IF(O687="선택 안함","선택 안함",IF(O687="특약 없음","특약 없음","가입"))</x:f>
        <x:v>가입</x:v>
      </x:c>
      <x:c r="Q687" s="2" t="str">
        <x:f>IF(P687="가입","가입","미가입")</x:f>
        <x:v>가입</x:v>
      </x:c>
    </x:row>
    <x:row r="688" ht="23" customHeight="1">
      <x:c r="A688" s="2" t="str">
        <x:v>C0265</x:v>
      </x:c>
      <x:c r="B688" s="7" t="n">
        <x:v>51</x:v>
      </x:c>
      <x:c r="C688" s="2" t="str">
        <x:f>INT(B688/10)*10&amp;"대"</x:f>
        <x:v>50대</x:v>
      </x:c>
      <x:c r="D688" s="2" t="str">
        <x:v>남성</x:v>
      </x:c>
      <x:c r="E688" s="7" t="n">
        <x:v>9000</x:v>
      </x:c>
      <x:c r="F688" s="7" t="n">
        <x:v>1</x:v>
      </x:c>
      <x:c r="G688" s="2" t="str">
        <x:v>기혼</x:v>
      </x:c>
      <x:c r="H688" s="7" t="n">
        <x:v>2</x:v>
      </x:c>
      <x:c r="I688" s="2" t="str">
        <x:f>IF(H688&lt;3,H688&amp;"명","3명 이상")</x:f>
        <x:v>2명</x:v>
      </x:c>
      <x:c r="J688" s="2" t="str">
        <x:v>비흡연</x:v>
      </x:c>
      <x:c r="K688" s="2" t="str">
        <x:v>없음</x:v>
      </x:c>
      <x:c r="L688" s="2" t="str">
        <x:v>없음</x:v>
      </x:c>
      <x:c r="M688" s="2" t="str">
        <x:v>수호천사 행복 연금보험</x:v>
      </x:c>
      <x:c r="N688" s="2" t="str">
        <x:f>VLOOKUP(M688,'분류기준'!$A$5:$B$8,2,FALSE)</x:f>
        <x:v>연금보험</x:v>
      </x:c>
      <x:c r="O688" s="2" t="str">
        <x:v>특약 없음</x:v>
      </x:c>
      <x:c r="P688" s="2" t="str">
        <x:f>IF(O688="선택 안함","선택 안함",IF(O688="특약 없음","특약 없음","가입"))</x:f>
        <x:v>특약 없음</x:v>
      </x:c>
      <x:c r="Q688" s="2" t="str">
        <x:f>IF(P688="가입","가입","미가입")</x:f>
        <x:v>미가입</x:v>
      </x:c>
    </x:row>
    <x:row r="689" ht="23" customHeight="1">
      <x:c r="A689" s="2" t="str">
        <x:v>C0344</x:v>
      </x:c>
      <x:c r="B689" s="7" t="n">
        <x:v>51</x:v>
      </x:c>
      <x:c r="C689" s="2" t="str">
        <x:f>INT(B689/10)*10&amp;"대"</x:f>
        <x:v>50대</x:v>
      </x:c>
      <x:c r="D689" s="2" t="str">
        <x:v>남성</x:v>
      </x:c>
      <x:c r="E689" s="7" t="n">
        <x:v>4000</x:v>
      </x:c>
      <x:c r="F689" s="7" t="n">
        <x:v>2</x:v>
      </x:c>
      <x:c r="G689" s="2" t="str">
        <x:v>기혼</x:v>
      </x:c>
      <x:c r="H689" s="7" t="n">
        <x:v>2</x:v>
      </x:c>
      <x:c r="I689" s="2" t="str">
        <x:f>IF(H689&lt;3,H689&amp;"명","3명 이상")</x:f>
        <x:v>2명</x:v>
      </x:c>
      <x:c r="J689" s="2" t="str">
        <x:v>비흡연</x:v>
      </x:c>
      <x:c r="K689" s="2" t="str">
        <x:v>고혈압</x:v>
      </x:c>
      <x:c r="L689" s="2" t="str">
        <x:v>없음</x:v>
      </x:c>
      <x:c r="M689" s="2" t="str">
        <x:v>수호천사 간편심사(유병자)보험</x:v>
      </x:c>
      <x:c r="N689" s="2" t="str">
        <x:f>VLOOKUP(M689,'분류기준'!$A$5:$B$8,2,FALSE)</x:f>
        <x:v>간편심사보험</x:v>
      </x:c>
      <x:c r="O689" s="2" t="str">
        <x:v>중증질환 산정특례 보장 특약</x:v>
      </x:c>
      <x:c r="P689" s="2" t="str">
        <x:f>IF(O689="선택 안함","선택 안함",IF(O689="특약 없음","특약 없음","가입"))</x:f>
        <x:v>가입</x:v>
      </x:c>
      <x:c r="Q689" s="2" t="str">
        <x:f>IF(P689="가입","가입","미가입")</x:f>
        <x:v>가입</x:v>
      </x:c>
    </x:row>
    <x:row r="690" ht="23" customHeight="1">
      <x:c r="A690" s="2" t="str">
        <x:v>C0356</x:v>
      </x:c>
      <x:c r="B690" s="7" t="n">
        <x:v>51</x:v>
      </x:c>
      <x:c r="C690" s="2" t="str">
        <x:f>INT(B690/10)*10&amp;"대"</x:f>
        <x:v>50대</x:v>
      </x:c>
      <x:c r="D690" s="2" t="str">
        <x:v>여성</x:v>
      </x:c>
      <x:c r="E690" s="7" t="n">
        <x:v>6000</x:v>
      </x:c>
      <x:c r="F690" s="7" t="n">
        <x:v>1</x:v>
      </x:c>
      <x:c r="G690" s="2" t="str">
        <x:v>기혼</x:v>
      </x:c>
      <x:c r="H690" s="7" t="n">
        <x:v>2</x:v>
      </x:c>
      <x:c r="I690" s="2" t="str">
        <x:f>IF(H690&lt;3,H690&amp;"명","3명 이상")</x:f>
        <x:v>2명</x:v>
      </x:c>
      <x:c r="J690" s="2" t="str">
        <x:v>비흡연</x:v>
      </x:c>
      <x:c r="K690" s="2" t="str">
        <x:v>없음</x:v>
      </x:c>
      <x:c r="L690" s="2" t="str">
        <x:v>암</x:v>
      </x:c>
      <x:c r="M690" s="2" t="str">
        <x:v>수호천사 암/건강보험</x:v>
      </x:c>
      <x:c r="N690" s="2" t="str">
        <x:f>VLOOKUP(M690,'분류기준'!$A$5:$B$8,2,FALSE)</x:f>
        <x:v>암/건강보험</x:v>
      </x:c>
      <x:c r="O690" s="2" t="str">
        <x:v>표적항암약물허가치료 특약</x:v>
      </x:c>
      <x:c r="P690" s="2" t="str">
        <x:f>IF(O690="선택 안함","선택 안함",IF(O690="특약 없음","특약 없음","가입"))</x:f>
        <x:v>가입</x:v>
      </x:c>
      <x:c r="Q690" s="2" t="str">
        <x:f>IF(P690="가입","가입","미가입")</x:f>
        <x:v>가입</x:v>
      </x:c>
    </x:row>
    <x:row r="691" ht="23" customHeight="1">
      <x:c r="A691" s="2" t="str">
        <x:v>C0392</x:v>
      </x:c>
      <x:c r="B691" s="7" t="n">
        <x:v>51</x:v>
      </x:c>
      <x:c r="C691" s="2" t="str">
        <x:f>INT(B691/10)*10&amp;"대"</x:f>
        <x:v>50대</x:v>
      </x:c>
      <x:c r="D691" s="2" t="str">
        <x:v>여성</x:v>
      </x:c>
      <x:c r="E691" s="7" t="n">
        <x:v>7500</x:v>
      </x:c>
      <x:c r="F691" s="7" t="n">
        <x:v>2</x:v>
      </x:c>
      <x:c r="G691" s="2" t="str">
        <x:v>기혼</x:v>
      </x:c>
      <x:c r="H691" s="7" t="n">
        <x:v>0</x:v>
      </x:c>
      <x:c r="I691" s="2" t="str">
        <x:f>IF(H691&lt;3,H691&amp;"명","3명 이상")</x:f>
        <x:v>0명</x:v>
      </x:c>
      <x:c r="J691" s="2" t="str">
        <x:v>비흡연</x:v>
      </x:c>
      <x:c r="K691" s="2" t="str">
        <x:v>고혈압</x:v>
      </x:c>
      <x:c r="L691" s="2" t="str">
        <x:v>없음</x:v>
      </x:c>
      <x:c r="M691" s="2" t="str">
        <x:v>수호천사 간편심사(유병자)보험</x:v>
      </x:c>
      <x:c r="N691" s="2" t="str">
        <x:f>VLOOKUP(M691,'분류기준'!$A$5:$B$8,2,FALSE)</x:f>
        <x:v>간편심사보험</x:v>
      </x:c>
      <x:c r="O691" s="2" t="str">
        <x:v>중증질환 산정특례 보장 특약</x:v>
      </x:c>
      <x:c r="P691" s="2" t="str">
        <x:f>IF(O691="선택 안함","선택 안함",IF(O691="특약 없음","특약 없음","가입"))</x:f>
        <x:v>가입</x:v>
      </x:c>
      <x:c r="Q691" s="2" t="str">
        <x:f>IF(P691="가입","가입","미가입")</x:f>
        <x:v>가입</x:v>
      </x:c>
    </x:row>
    <x:row r="692" ht="23" customHeight="1">
      <x:c r="A692" s="2" t="str">
        <x:v>C0412</x:v>
      </x:c>
      <x:c r="B692" s="7" t="n">
        <x:v>51</x:v>
      </x:c>
      <x:c r="C692" s="2" t="str">
        <x:f>INT(B692/10)*10&amp;"대"</x:f>
        <x:v>50대</x:v>
      </x:c>
      <x:c r="D692" s="2" t="str">
        <x:v>여성</x:v>
      </x:c>
      <x:c r="E692" s="7" t="n">
        <x:v>7500</x:v>
      </x:c>
      <x:c r="F692" s="7" t="n">
        <x:v>1</x:v>
      </x:c>
      <x:c r="G692" s="2" t="str">
        <x:v>미혼</x:v>
      </x:c>
      <x:c r="H692" s="7" t="n">
        <x:v>0</x:v>
      </x:c>
      <x:c r="I692" s="2" t="str">
        <x:f>IF(H692&lt;3,H692&amp;"명","3명 이상")</x:f>
        <x:v>0명</x:v>
      </x:c>
      <x:c r="J692" s="2" t="str">
        <x:v>비흡연</x:v>
      </x:c>
      <x:c r="K692" s="2" t="str">
        <x:v>고혈압</x:v>
      </x:c>
      <x:c r="L692" s="2" t="str">
        <x:v>없음</x:v>
      </x:c>
      <x:c r="M692" s="2" t="str">
        <x:v>수호천사 행복 연금보험</x:v>
      </x:c>
      <x:c r="N692" s="2" t="str">
        <x:f>VLOOKUP(M692,'분류기준'!$A$5:$B$8,2,FALSE)</x:f>
        <x:v>연금보험</x:v>
      </x:c>
      <x:c r="O692" s="2" t="str">
        <x:v>특약 없음</x:v>
      </x:c>
      <x:c r="P692" s="2" t="str">
        <x:f>IF(O692="선택 안함","선택 안함",IF(O692="특약 없음","특약 없음","가입"))</x:f>
        <x:v>특약 없음</x:v>
      </x:c>
      <x:c r="Q692" s="2" t="str">
        <x:f>IF(P692="가입","가입","미가입")</x:f>
        <x:v>미가입</x:v>
      </x:c>
    </x:row>
    <x:row r="693" ht="23" customHeight="1">
      <x:c r="A693" s="2" t="str">
        <x:v>C0433</x:v>
      </x:c>
      <x:c r="B693" s="7" t="n">
        <x:v>51</x:v>
      </x:c>
      <x:c r="C693" s="2" t="str">
        <x:f>INT(B693/10)*10&amp;"대"</x:f>
        <x:v>50대</x:v>
      </x:c>
      <x:c r="D693" s="2" t="str">
        <x:v>남성</x:v>
      </x:c>
      <x:c r="E693" s="7" t="n">
        <x:v>4000</x:v>
      </x:c>
      <x:c r="F693" s="7" t="n">
        <x:v>1</x:v>
      </x:c>
      <x:c r="G693" s="2" t="str">
        <x:v>기혼</x:v>
      </x:c>
      <x:c r="H693" s="7" t="n">
        <x:v>2</x:v>
      </x:c>
      <x:c r="I693" s="2" t="str">
        <x:f>IF(H693&lt;3,H693&amp;"명","3명 이상")</x:f>
        <x:v>2명</x:v>
      </x:c>
      <x:c r="J693" s="2" t="str">
        <x:v>비흡연</x:v>
      </x:c>
      <x:c r="K693" s="2" t="str">
        <x:v>없음</x:v>
      </x:c>
      <x:c r="L693" s="2" t="str">
        <x:v>없음</x:v>
      </x:c>
      <x:c r="M693" s="2" t="str">
        <x:v>수호천사 간편심사(유병자)보험</x:v>
      </x:c>
      <x:c r="N693" s="2" t="str">
        <x:f>VLOOKUP(M693,'분류기준'!$A$5:$B$8,2,FALSE)</x:f>
        <x:v>간편심사보험</x:v>
      </x:c>
      <x:c r="O693" s="2" t="str">
        <x:v>중증질환 산정특례 보장 특약</x:v>
      </x:c>
      <x:c r="P693" s="2" t="str">
        <x:f>IF(O693="선택 안함","선택 안함",IF(O693="특약 없음","특약 없음","가입"))</x:f>
        <x:v>가입</x:v>
      </x:c>
      <x:c r="Q693" s="2" t="str">
        <x:f>IF(P693="가입","가입","미가입")</x:f>
        <x:v>가입</x:v>
      </x:c>
    </x:row>
    <x:row r="694" ht="23" customHeight="1">
      <x:c r="A694" s="2" t="str">
        <x:v>C0474</x:v>
      </x:c>
      <x:c r="B694" s="7" t="n">
        <x:v>51</x:v>
      </x:c>
      <x:c r="C694" s="2" t="str">
        <x:f>INT(B694/10)*10&amp;"대"</x:f>
        <x:v>50대</x:v>
      </x:c>
      <x:c r="D694" s="2" t="str">
        <x:v>여성</x:v>
      </x:c>
      <x:c r="E694" s="7" t="n">
        <x:v>4000</x:v>
      </x:c>
      <x:c r="F694" s="7" t="n">
        <x:v>1</x:v>
      </x:c>
      <x:c r="G694" s="2" t="str">
        <x:v>기혼</x:v>
      </x:c>
      <x:c r="H694" s="7" t="n">
        <x:v>0</x:v>
      </x:c>
      <x:c r="I694" s="2" t="str">
        <x:f>IF(H694&lt;3,H694&amp;"명","3명 이상")</x:f>
        <x:v>0명</x:v>
      </x:c>
      <x:c r="J694" s="2" t="str">
        <x:v>비흡연</x:v>
      </x:c>
      <x:c r="K694" s="2" t="str">
        <x:v>없음</x:v>
      </x:c>
      <x:c r="L694" s="2" t="str">
        <x:v>없음</x:v>
      </x:c>
      <x:c r="M694" s="2" t="str">
        <x:v>수호천사 행복 연금보험</x:v>
      </x:c>
      <x:c r="N694" s="2" t="str">
        <x:f>VLOOKUP(M694,'분류기준'!$A$5:$B$8,2,FALSE)</x:f>
        <x:v>연금보험</x:v>
      </x:c>
      <x:c r="O694" s="2" t="str">
        <x:v>특약 없음</x:v>
      </x:c>
      <x:c r="P694" s="2" t="str">
        <x:f>IF(O694="선택 안함","선택 안함",IF(O694="특약 없음","특약 없음","가입"))</x:f>
        <x:v>특약 없음</x:v>
      </x:c>
      <x:c r="Q694" s="2" t="str">
        <x:f>IF(P694="가입","가입","미가입")</x:f>
        <x:v>미가입</x:v>
      </x:c>
    </x:row>
    <x:row r="695" ht="23" customHeight="1">
      <x:c r="A695" s="2" t="str">
        <x:v>C0484</x:v>
      </x:c>
      <x:c r="B695" s="7" t="n">
        <x:v>51</x:v>
      </x:c>
      <x:c r="C695" s="2" t="str">
        <x:f>INT(B695/10)*10&amp;"대"</x:f>
        <x:v>50대</x:v>
      </x:c>
      <x:c r="D695" s="2" t="str">
        <x:v>남성</x:v>
      </x:c>
      <x:c r="E695" s="7" t="n">
        <x:v>3000</x:v>
      </x:c>
      <x:c r="F695" s="7" t="n">
        <x:v>1</x:v>
      </x:c>
      <x:c r="G695" s="2" t="str">
        <x:v>기혼</x:v>
      </x:c>
      <x:c r="H695" s="7" t="n">
        <x:v>1</x:v>
      </x:c>
      <x:c r="I695" s="2" t="str">
        <x:f>IF(H695&lt;3,H695&amp;"명","3명 이상")</x:f>
        <x:v>1명</x:v>
      </x:c>
      <x:c r="J695" s="2" t="str">
        <x:v>비흡연</x:v>
      </x:c>
      <x:c r="K695" s="2" t="str">
        <x:v>없음</x:v>
      </x:c>
      <x:c r="L695" s="2" t="str">
        <x:v>없음</x:v>
      </x:c>
      <x:c r="M695" s="2" t="str">
        <x:v>수호천사 암/건강보험</x:v>
      </x:c>
      <x:c r="N695" s="2" t="str">
        <x:f>VLOOKUP(M695,'분류기준'!$A$5:$B$8,2,FALSE)</x:f>
        <x:v>암/건강보험</x:v>
      </x:c>
      <x:c r="O695" s="2" t="str">
        <x:v>표적항암약물허가치료 특약</x:v>
      </x:c>
      <x:c r="P695" s="2" t="str">
        <x:f>IF(O695="선택 안함","선택 안함",IF(O695="특약 없음","특약 없음","가입"))</x:f>
        <x:v>가입</x:v>
      </x:c>
      <x:c r="Q695" s="2" t="str">
        <x:f>IF(P695="가입","가입","미가입")</x:f>
        <x:v>가입</x:v>
      </x:c>
    </x:row>
    <x:row r="696" ht="23" customHeight="1">
      <x:c r="A696" s="2" t="str">
        <x:v>C0537</x:v>
      </x:c>
      <x:c r="B696" s="7" t="n">
        <x:v>51</x:v>
      </x:c>
      <x:c r="C696" s="2" t="str">
        <x:f>INT(B696/10)*10&amp;"대"</x:f>
        <x:v>50대</x:v>
      </x:c>
      <x:c r="D696" s="2" t="str">
        <x:v>남성</x:v>
      </x:c>
      <x:c r="E696" s="7" t="n">
        <x:v>5000</x:v>
      </x:c>
      <x:c r="F696" s="7" t="n">
        <x:v>1</x:v>
      </x:c>
      <x:c r="G696" s="2" t="str">
        <x:v>미혼</x:v>
      </x:c>
      <x:c r="H696" s="7" t="n">
        <x:v>0</x:v>
      </x:c>
      <x:c r="I696" s="2" t="str">
        <x:f>IF(H696&lt;3,H696&amp;"명","3명 이상")</x:f>
        <x:v>0명</x:v>
      </x:c>
      <x:c r="J696" s="2" t="str">
        <x:v>흡연</x:v>
      </x:c>
      <x:c r="K696" s="2" t="str">
        <x:v>없음</x:v>
      </x:c>
      <x:c r="L696" s="2" t="str">
        <x:v>심혈관</x:v>
      </x:c>
      <x:c r="M696" s="2" t="str">
        <x:v>수호천사 간편심사(유병자)보험</x:v>
      </x:c>
      <x:c r="N696" s="2" t="str">
        <x:f>VLOOKUP(M696,'분류기준'!$A$5:$B$8,2,FALSE)</x:f>
        <x:v>간편심사보험</x:v>
      </x:c>
      <x:c r="O696" s="2" t="str">
        <x:v>중증질환 산정특례 보장 특약</x:v>
      </x:c>
      <x:c r="P696" s="2" t="str">
        <x:f>IF(O696="선택 안함","선택 안함",IF(O696="특약 없음","특약 없음","가입"))</x:f>
        <x:v>가입</x:v>
      </x:c>
      <x:c r="Q696" s="2" t="str">
        <x:f>IF(P696="가입","가입","미가입")</x:f>
        <x:v>가입</x:v>
      </x:c>
    </x:row>
    <x:row r="697" ht="23" customHeight="1">
      <x:c r="A697" s="2" t="str">
        <x:v>C0540</x:v>
      </x:c>
      <x:c r="B697" s="7" t="n">
        <x:v>51</x:v>
      </x:c>
      <x:c r="C697" s="2" t="str">
        <x:f>INT(B697/10)*10&amp;"대"</x:f>
        <x:v>50대</x:v>
      </x:c>
      <x:c r="D697" s="2" t="str">
        <x:v>여성</x:v>
      </x:c>
      <x:c r="E697" s="7" t="n">
        <x:v>3000</x:v>
      </x:c>
      <x:c r="F697" s="7" t="n">
        <x:v>2</x:v>
      </x:c>
      <x:c r="G697" s="2" t="str">
        <x:v>기혼</x:v>
      </x:c>
      <x:c r="H697" s="7" t="n">
        <x:v>1</x:v>
      </x:c>
      <x:c r="I697" s="2" t="str">
        <x:f>IF(H697&lt;3,H697&amp;"명","3명 이상")</x:f>
        <x:v>1명</x:v>
      </x:c>
      <x:c r="J697" s="2" t="str">
        <x:v>비흡연</x:v>
      </x:c>
      <x:c r="K697" s="2" t="str">
        <x:v>없음</x:v>
      </x:c>
      <x:c r="L697" s="2" t="str">
        <x:v>암</x:v>
      </x:c>
      <x:c r="M697" s="2" t="str">
        <x:v>수호천사 암/건강보험</x:v>
      </x:c>
      <x:c r="N697" s="2" t="str">
        <x:f>VLOOKUP(M697,'분류기준'!$A$5:$B$8,2,FALSE)</x:f>
        <x:v>암/건강보험</x:v>
      </x:c>
      <x:c r="O697" s="2" t="str">
        <x:v>표적항암약물허가치료 특약</x:v>
      </x:c>
      <x:c r="P697" s="2" t="str">
        <x:f>IF(O697="선택 안함","선택 안함",IF(O697="특약 없음","특약 없음","가입"))</x:f>
        <x:v>가입</x:v>
      </x:c>
      <x:c r="Q697" s="2" t="str">
        <x:f>IF(P697="가입","가입","미가입")</x:f>
        <x:v>가입</x:v>
      </x:c>
    </x:row>
    <x:row r="698" ht="23" customHeight="1">
      <x:c r="A698" s="2" t="str">
        <x:v>C0646</x:v>
      </x:c>
      <x:c r="B698" s="7" t="n">
        <x:v>51</x:v>
      </x:c>
      <x:c r="C698" s="2" t="str">
        <x:f>INT(B698/10)*10&amp;"대"</x:f>
        <x:v>50대</x:v>
      </x:c>
      <x:c r="D698" s="2" t="str">
        <x:v>여성</x:v>
      </x:c>
      <x:c r="E698" s="7" t="n">
        <x:v>5000</x:v>
      </x:c>
      <x:c r="F698" s="7" t="n">
        <x:v>1</x:v>
      </x:c>
      <x:c r="G698" s="2" t="str">
        <x:v>기혼</x:v>
      </x:c>
      <x:c r="H698" s="7" t="n">
        <x:v>1</x:v>
      </x:c>
      <x:c r="I698" s="2" t="str">
        <x:f>IF(H698&lt;3,H698&amp;"명","3명 이상")</x:f>
        <x:v>1명</x:v>
      </x:c>
      <x:c r="J698" s="2" t="str">
        <x:v>흡연</x:v>
      </x:c>
      <x:c r="K698" s="2" t="str">
        <x:v>없음</x:v>
      </x:c>
      <x:c r="L698" s="2" t="str">
        <x:v>없음</x:v>
      </x:c>
      <x:c r="M698" s="2" t="str">
        <x:v>수호천사 암/건강보험</x:v>
      </x:c>
      <x:c r="N698" s="2" t="str">
        <x:f>VLOOKUP(M698,'분류기준'!$A$5:$B$8,2,FALSE)</x:f>
        <x:v>암/건강보험</x:v>
      </x:c>
      <x:c r="O698" s="2" t="str">
        <x:v>표적항암약물허가치료 특약</x:v>
      </x:c>
      <x:c r="P698" s="2" t="str">
        <x:f>IF(O698="선택 안함","선택 안함",IF(O698="특약 없음","특약 없음","가입"))</x:f>
        <x:v>가입</x:v>
      </x:c>
      <x:c r="Q698" s="2" t="str">
        <x:f>IF(P698="가입","가입","미가입")</x:f>
        <x:v>가입</x:v>
      </x:c>
    </x:row>
    <x:row r="699" ht="23" customHeight="1">
      <x:c r="A699" s="2" t="str">
        <x:v>C0669</x:v>
      </x:c>
      <x:c r="B699" s="7" t="n">
        <x:v>51</x:v>
      </x:c>
      <x:c r="C699" s="2" t="str">
        <x:f>INT(B699/10)*10&amp;"대"</x:f>
        <x:v>50대</x:v>
      </x:c>
      <x:c r="D699" s="2" t="str">
        <x:v>남성</x:v>
      </x:c>
      <x:c r="E699" s="7" t="n">
        <x:v>3000</x:v>
      </x:c>
      <x:c r="F699" s="7" t="n">
        <x:v>1</x:v>
      </x:c>
      <x:c r="G699" s="2" t="str">
        <x:v>기혼</x:v>
      </x:c>
      <x:c r="H699" s="7" t="n">
        <x:v>0</x:v>
      </x:c>
      <x:c r="I699" s="2" t="str">
        <x:f>IF(H699&lt;3,H699&amp;"명","3명 이상")</x:f>
        <x:v>0명</x:v>
      </x:c>
      <x:c r="J699" s="2" t="str">
        <x:v>흡연</x:v>
      </x:c>
      <x:c r="K699" s="2" t="str">
        <x:v>고혈압</x:v>
      </x:c>
      <x:c r="L699" s="2" t="str">
        <x:v>없음</x:v>
      </x:c>
      <x:c r="M699" s="2" t="str">
        <x:v>수호천사 행복 연금보험</x:v>
      </x:c>
      <x:c r="N699" s="2" t="str">
        <x:f>VLOOKUP(M699,'분류기준'!$A$5:$B$8,2,FALSE)</x:f>
        <x:v>연금보험</x:v>
      </x:c>
      <x:c r="O699" s="2" t="str">
        <x:v>특약 없음</x:v>
      </x:c>
      <x:c r="P699" s="2" t="str">
        <x:f>IF(O699="선택 안함","선택 안함",IF(O699="특약 없음","특약 없음","가입"))</x:f>
        <x:v>특약 없음</x:v>
      </x:c>
      <x:c r="Q699" s="2" t="str">
        <x:f>IF(P699="가입","가입","미가입")</x:f>
        <x:v>미가입</x:v>
      </x:c>
    </x:row>
    <x:row r="700" ht="23" customHeight="1">
      <x:c r="A700" s="2" t="str">
        <x:v>C0709</x:v>
      </x:c>
      <x:c r="B700" s="7" t="n">
        <x:v>51</x:v>
      </x:c>
      <x:c r="C700" s="2" t="str">
        <x:f>INT(B700/10)*10&amp;"대"</x:f>
        <x:v>50대</x:v>
      </x:c>
      <x:c r="D700" s="2" t="str">
        <x:v>여성</x:v>
      </x:c>
      <x:c r="E700" s="7" t="n">
        <x:v>5000</x:v>
      </x:c>
      <x:c r="F700" s="7" t="n">
        <x:v>1</x:v>
      </x:c>
      <x:c r="G700" s="2" t="str">
        <x:v>미혼</x:v>
      </x:c>
      <x:c r="H700" s="7" t="n">
        <x:v>0</x:v>
      </x:c>
      <x:c r="I700" s="2" t="str">
        <x:f>IF(H700&lt;3,H700&amp;"명","3명 이상")</x:f>
        <x:v>0명</x:v>
      </x:c>
      <x:c r="J700" s="2" t="str">
        <x:v>흡연</x:v>
      </x:c>
      <x:c r="K700" s="2" t="str">
        <x:v>없음</x:v>
      </x:c>
      <x:c r="L700" s="2" t="str">
        <x:v>없음</x:v>
      </x:c>
      <x:c r="M700" s="2" t="str">
        <x:v>수호천사 암/건강보험</x:v>
      </x:c>
      <x:c r="N700" s="2" t="str">
        <x:f>VLOOKUP(M700,'분류기준'!$A$5:$B$8,2,FALSE)</x:f>
        <x:v>암/건강보험</x:v>
      </x:c>
      <x:c r="O700" s="2" t="str">
        <x:v>표적항암약물허가치료 특약</x:v>
      </x:c>
      <x:c r="P700" s="2" t="str">
        <x:f>IF(O700="선택 안함","선택 안함",IF(O700="특약 없음","특약 없음","가입"))</x:f>
        <x:v>가입</x:v>
      </x:c>
      <x:c r="Q700" s="2" t="str">
        <x:f>IF(P700="가입","가입","미가입")</x:f>
        <x:v>가입</x:v>
      </x:c>
    </x:row>
    <x:row r="701" ht="23" customHeight="1">
      <x:c r="A701" s="2" t="str">
        <x:v>C0748</x:v>
      </x:c>
      <x:c r="B701" s="7" t="n">
        <x:v>51</x:v>
      </x:c>
      <x:c r="C701" s="2" t="str">
        <x:f>INT(B701/10)*10&amp;"대"</x:f>
        <x:v>50대</x:v>
      </x:c>
      <x:c r="D701" s="2" t="str">
        <x:v>남성</x:v>
      </x:c>
      <x:c r="E701" s="7" t="n">
        <x:v>3000</x:v>
      </x:c>
      <x:c r="F701" s="7" t="n">
        <x:v>1</x:v>
      </x:c>
      <x:c r="G701" s="2" t="str">
        <x:v>기혼</x:v>
      </x:c>
      <x:c r="H701" s="7" t="n">
        <x:v>1</x:v>
      </x:c>
      <x:c r="I701" s="2" t="str">
        <x:f>IF(H701&lt;3,H701&amp;"명","3명 이상")</x:f>
        <x:v>1명</x:v>
      </x:c>
      <x:c r="J701" s="2" t="str">
        <x:v>비흡연</x:v>
      </x:c>
      <x:c r="K701" s="2" t="str">
        <x:v>고혈압</x:v>
      </x:c>
      <x:c r="L701" s="2" t="str">
        <x:v>암</x:v>
      </x:c>
      <x:c r="M701" s="2" t="str">
        <x:v>수호천사 간편심사(유병자)보험</x:v>
      </x:c>
      <x:c r="N701" s="2" t="str">
        <x:f>VLOOKUP(M701,'분류기준'!$A$5:$B$8,2,FALSE)</x:f>
        <x:v>간편심사보험</x:v>
      </x:c>
      <x:c r="O701" s="2" t="str">
        <x:v>중증질환 산정특례 보장 특약</x:v>
      </x:c>
      <x:c r="P701" s="2" t="str">
        <x:f>IF(O701="선택 안함","선택 안함",IF(O701="특약 없음","특약 없음","가입"))</x:f>
        <x:v>가입</x:v>
      </x:c>
      <x:c r="Q701" s="2" t="str">
        <x:f>IF(P701="가입","가입","미가입")</x:f>
        <x:v>가입</x:v>
      </x:c>
    </x:row>
    <x:row r="702" ht="23" customHeight="1">
      <x:c r="A702" s="2" t="str">
        <x:v>C0816</x:v>
      </x:c>
      <x:c r="B702" s="7" t="n">
        <x:v>51</x:v>
      </x:c>
      <x:c r="C702" s="2" t="str">
        <x:f>INT(B702/10)*10&amp;"대"</x:f>
        <x:v>50대</x:v>
      </x:c>
      <x:c r="D702" s="2" t="str">
        <x:v>여성</x:v>
      </x:c>
      <x:c r="E702" s="7" t="n">
        <x:v>9000</x:v>
      </x:c>
      <x:c r="F702" s="7" t="n">
        <x:v>1</x:v>
      </x:c>
      <x:c r="G702" s="2" t="str">
        <x:v>기혼</x:v>
      </x:c>
      <x:c r="H702" s="7" t="n">
        <x:v>0</x:v>
      </x:c>
      <x:c r="I702" s="2" t="str">
        <x:f>IF(H702&lt;3,H702&amp;"명","3명 이상")</x:f>
        <x:v>0명</x:v>
      </x:c>
      <x:c r="J702" s="2" t="str">
        <x:v>흡연</x:v>
      </x:c>
      <x:c r="K702" s="2" t="str">
        <x:v>당뇨</x:v>
      </x:c>
      <x:c r="L702" s="2" t="str">
        <x:v>심혈관</x:v>
      </x:c>
      <x:c r="M702" s="2" t="str">
        <x:v>수호천사 간편심사(유병자)보험</x:v>
      </x:c>
      <x:c r="N702" s="2" t="str">
        <x:f>VLOOKUP(M702,'분류기준'!$A$5:$B$8,2,FALSE)</x:f>
        <x:v>간편심사보험</x:v>
      </x:c>
      <x:c r="O702" s="2" t="str">
        <x:v>중증질환 산정특례 보장 특약</x:v>
      </x:c>
      <x:c r="P702" s="2" t="str">
        <x:f>IF(O702="선택 안함","선택 안함",IF(O702="특약 없음","특약 없음","가입"))</x:f>
        <x:v>가입</x:v>
      </x:c>
      <x:c r="Q702" s="2" t="str">
        <x:f>IF(P702="가입","가입","미가입")</x:f>
        <x:v>가입</x:v>
      </x:c>
    </x:row>
    <x:row r="703" ht="23" customHeight="1">
      <x:c r="A703" s="2" t="str">
        <x:v>C0820</x:v>
      </x:c>
      <x:c r="B703" s="7" t="n">
        <x:v>51</x:v>
      </x:c>
      <x:c r="C703" s="2" t="str">
        <x:f>INT(B703/10)*10&amp;"대"</x:f>
        <x:v>50대</x:v>
      </x:c>
      <x:c r="D703" s="2" t="str">
        <x:v>남성</x:v>
      </x:c>
      <x:c r="E703" s="7" t="n">
        <x:v>6000</x:v>
      </x:c>
      <x:c r="F703" s="7" t="n">
        <x:v>2</x:v>
      </x:c>
      <x:c r="G703" s="2" t="str">
        <x:v>기혼</x:v>
      </x:c>
      <x:c r="H703" s="7" t="n">
        <x:v>1</x:v>
      </x:c>
      <x:c r="I703" s="2" t="str">
        <x:f>IF(H703&lt;3,H703&amp;"명","3명 이상")</x:f>
        <x:v>1명</x:v>
      </x:c>
      <x:c r="J703" s="2" t="str">
        <x:v>흡연</x:v>
      </x:c>
      <x:c r="K703" s="2" t="str">
        <x:v>없음</x:v>
      </x:c>
      <x:c r="L703" s="2" t="str">
        <x:v>없음</x:v>
      </x:c>
      <x:c r="M703" s="2" t="str">
        <x:v>수호천사 암/건강보험</x:v>
      </x:c>
      <x:c r="N703" s="2" t="str">
        <x:f>VLOOKUP(M703,'분류기준'!$A$5:$B$8,2,FALSE)</x:f>
        <x:v>암/건강보험</x:v>
      </x:c>
      <x:c r="O703" s="2" t="str">
        <x:v>표적항암약물허가치료 특약</x:v>
      </x:c>
      <x:c r="P703" s="2" t="str">
        <x:f>IF(O703="선택 안함","선택 안함",IF(O703="특약 없음","특약 없음","가입"))</x:f>
        <x:v>가입</x:v>
      </x:c>
      <x:c r="Q703" s="2" t="str">
        <x:f>IF(P703="가입","가입","미가입")</x:f>
        <x:v>가입</x:v>
      </x:c>
    </x:row>
    <x:row r="704" ht="23" customHeight="1">
      <x:c r="A704" s="2" t="str">
        <x:v>C0025</x:v>
      </x:c>
      <x:c r="B704" s="7" t="n">
        <x:v>52</x:v>
      </x:c>
      <x:c r="C704" s="2" t="str">
        <x:f>INT(B704/10)*10&amp;"대"</x:f>
        <x:v>50대</x:v>
      </x:c>
      <x:c r="D704" s="2" t="str">
        <x:v>남성</x:v>
      </x:c>
      <x:c r="E704" s="7" t="n">
        <x:v>5000</x:v>
      </x:c>
      <x:c r="F704" s="7" t="n">
        <x:v>3</x:v>
      </x:c>
      <x:c r="G704" s="2" t="str">
        <x:v>기혼</x:v>
      </x:c>
      <x:c r="H704" s="7" t="n">
        <x:v>0</x:v>
      </x:c>
      <x:c r="I704" s="2" t="str">
        <x:f>IF(H704&lt;3,H704&amp;"명","3명 이상")</x:f>
        <x:v>0명</x:v>
      </x:c>
      <x:c r="J704" s="2" t="str">
        <x:v>비흡연</x:v>
      </x:c>
      <x:c r="K704" s="2" t="str">
        <x:v>없음</x:v>
      </x:c>
      <x:c r="L704" s="2" t="str">
        <x:v>없음</x:v>
      </x:c>
      <x:c r="M704" s="2" t="str">
        <x:v>수호천사 암/건강보험</x:v>
      </x:c>
      <x:c r="N704" s="2" t="str">
        <x:f>VLOOKUP(M704,'분류기준'!$A$5:$B$8,2,FALSE)</x:f>
        <x:v>암/건강보험</x:v>
      </x:c>
      <x:c r="O704" s="2" t="str">
        <x:v>수술비 보장 특약</x:v>
      </x:c>
      <x:c r="P704" s="2" t="str">
        <x:f>IF(O704="선택 안함","선택 안함",IF(O704="특약 없음","특약 없음","가입"))</x:f>
        <x:v>가입</x:v>
      </x:c>
      <x:c r="Q704" s="2" t="str">
        <x:f>IF(P704="가입","가입","미가입")</x:f>
        <x:v>가입</x:v>
      </x:c>
    </x:row>
    <x:row r="705" ht="23" customHeight="1">
      <x:c r="A705" s="2" t="str">
        <x:v>C0104</x:v>
      </x:c>
      <x:c r="B705" s="7" t="n">
        <x:v>52</x:v>
      </x:c>
      <x:c r="C705" s="2" t="str">
        <x:f>INT(B705/10)*10&amp;"대"</x:f>
        <x:v>50대</x:v>
      </x:c>
      <x:c r="D705" s="2" t="str">
        <x:v>남성</x:v>
      </x:c>
      <x:c r="E705" s="7" t="n">
        <x:v>7500</x:v>
      </x:c>
      <x:c r="F705" s="7" t="n">
        <x:v>2</x:v>
      </x:c>
      <x:c r="G705" s="2" t="str">
        <x:v>기혼</x:v>
      </x:c>
      <x:c r="H705" s="7" t="n">
        <x:v>1</x:v>
      </x:c>
      <x:c r="I705" s="2" t="str">
        <x:f>IF(H705&lt;3,H705&amp;"명","3명 이상")</x:f>
        <x:v>1명</x:v>
      </x:c>
      <x:c r="J705" s="2" t="str">
        <x:v>비흡연</x:v>
      </x:c>
      <x:c r="K705" s="2" t="str">
        <x:v>당뇨</x:v>
      </x:c>
      <x:c r="L705" s="2" t="str">
        <x:v>없음</x:v>
      </x:c>
      <x:c r="M705" s="2" t="str">
        <x:v>수호천사 행복 연금보험</x:v>
      </x:c>
      <x:c r="N705" s="2" t="str">
        <x:f>VLOOKUP(M705,'분류기준'!$A$5:$B$8,2,FALSE)</x:f>
        <x:v>연금보험</x:v>
      </x:c>
      <x:c r="O705" s="2" t="str">
        <x:v>특약 없음</x:v>
      </x:c>
      <x:c r="P705" s="2" t="str">
        <x:f>IF(O705="선택 안함","선택 안함",IF(O705="특약 없음","특약 없음","가입"))</x:f>
        <x:v>특약 없음</x:v>
      </x:c>
      <x:c r="Q705" s="2" t="str">
        <x:f>IF(P705="가입","가입","미가입")</x:f>
        <x:v>미가입</x:v>
      </x:c>
    </x:row>
    <x:row r="706" ht="23" customHeight="1">
      <x:c r="A706" s="2" t="str">
        <x:v>C0115</x:v>
      </x:c>
      <x:c r="B706" s="7" t="n">
        <x:v>52</x:v>
      </x:c>
      <x:c r="C706" s="2" t="str">
        <x:f>INT(B706/10)*10&amp;"대"</x:f>
        <x:v>50대</x:v>
      </x:c>
      <x:c r="D706" s="2" t="str">
        <x:v>여성</x:v>
      </x:c>
      <x:c r="E706" s="7" t="n">
        <x:v>3000</x:v>
      </x:c>
      <x:c r="F706" s="7" t="n">
        <x:v>1</x:v>
      </x:c>
      <x:c r="G706" s="2" t="str">
        <x:v>기혼</x:v>
      </x:c>
      <x:c r="H706" s="7" t="n">
        <x:v>1</x:v>
      </x:c>
      <x:c r="I706" s="2" t="str">
        <x:f>IF(H706&lt;3,H706&amp;"명","3명 이상")</x:f>
        <x:v>1명</x:v>
      </x:c>
      <x:c r="J706" s="2" t="str">
        <x:v>비흡연</x:v>
      </x:c>
      <x:c r="K706" s="2" t="str">
        <x:v>없음</x:v>
      </x:c>
      <x:c r="L706" s="2" t="str">
        <x:v>암</x:v>
      </x:c>
      <x:c r="M706" s="2" t="str">
        <x:v>수호천사 암/건강보험</x:v>
      </x:c>
      <x:c r="N706" s="2" t="str">
        <x:f>VLOOKUP(M706,'분류기준'!$A$5:$B$8,2,FALSE)</x:f>
        <x:v>암/건강보험</x:v>
      </x:c>
      <x:c r="O706" s="2" t="str">
        <x:v>표적항암약물허가치료 특약</x:v>
      </x:c>
      <x:c r="P706" s="2" t="str">
        <x:f>IF(O706="선택 안함","선택 안함",IF(O706="특약 없음","특약 없음","가입"))</x:f>
        <x:v>가입</x:v>
      </x:c>
      <x:c r="Q706" s="2" t="str">
        <x:f>IF(P706="가입","가입","미가입")</x:f>
        <x:v>가입</x:v>
      </x:c>
    </x:row>
    <x:row r="707" ht="23" customHeight="1">
      <x:c r="A707" s="2" t="str">
        <x:v>C0174</x:v>
      </x:c>
      <x:c r="B707" s="7" t="n">
        <x:v>52</x:v>
      </x:c>
      <x:c r="C707" s="2" t="str">
        <x:f>INT(B707/10)*10&amp;"대"</x:f>
        <x:v>50대</x:v>
      </x:c>
      <x:c r="D707" s="2" t="str">
        <x:v>남성</x:v>
      </x:c>
      <x:c r="E707" s="7" t="n">
        <x:v>5000</x:v>
      </x:c>
      <x:c r="F707" s="7" t="n">
        <x:v>1</x:v>
      </x:c>
      <x:c r="G707" s="2" t="str">
        <x:v>기혼</x:v>
      </x:c>
      <x:c r="H707" s="7" t="n">
        <x:v>1</x:v>
      </x:c>
      <x:c r="I707" s="2" t="str">
        <x:f>IF(H707&lt;3,H707&amp;"명","3명 이상")</x:f>
        <x:v>1명</x:v>
      </x:c>
      <x:c r="J707" s="2" t="str">
        <x:v>비흡연</x:v>
      </x:c>
      <x:c r="K707" s="2" t="str">
        <x:v>고혈압</x:v>
      </x:c>
      <x:c r="L707" s="2" t="str">
        <x:v>심혈관</x:v>
      </x:c>
      <x:c r="M707" s="2" t="str">
        <x:v>수호천사 간편심사(유병자)보험</x:v>
      </x:c>
      <x:c r="N707" s="2" t="str">
        <x:f>VLOOKUP(M707,'분류기준'!$A$5:$B$8,2,FALSE)</x:f>
        <x:v>간편심사보험</x:v>
      </x:c>
      <x:c r="O707" s="2" t="str">
        <x:v>중증질환 산정특례 보장 특약</x:v>
      </x:c>
      <x:c r="P707" s="2" t="str">
        <x:f>IF(O707="선택 안함","선택 안함",IF(O707="특약 없음","특약 없음","가입"))</x:f>
        <x:v>가입</x:v>
      </x:c>
      <x:c r="Q707" s="2" t="str">
        <x:f>IF(P707="가입","가입","미가입")</x:f>
        <x:v>가입</x:v>
      </x:c>
    </x:row>
    <x:row r="708" ht="23" customHeight="1">
      <x:c r="A708" s="2" t="str">
        <x:v>C0186</x:v>
      </x:c>
      <x:c r="B708" s="7" t="n">
        <x:v>52</x:v>
      </x:c>
      <x:c r="C708" s="2" t="str">
        <x:f>INT(B708/10)*10&amp;"대"</x:f>
        <x:v>50대</x:v>
      </x:c>
      <x:c r="D708" s="2" t="str">
        <x:v>여성</x:v>
      </x:c>
      <x:c r="E708" s="7" t="n">
        <x:v>6000</x:v>
      </x:c>
      <x:c r="F708" s="7" t="n">
        <x:v>1</x:v>
      </x:c>
      <x:c r="G708" s="2" t="str">
        <x:v>미혼</x:v>
      </x:c>
      <x:c r="H708" s="7" t="n">
        <x:v>0</x:v>
      </x:c>
      <x:c r="I708" s="2" t="str">
        <x:f>IF(H708&lt;3,H708&amp;"명","3명 이상")</x:f>
        <x:v>0명</x:v>
      </x:c>
      <x:c r="J708" s="2" t="str">
        <x:v>비흡연</x:v>
      </x:c>
      <x:c r="K708" s="2" t="str">
        <x:v>없음</x:v>
      </x:c>
      <x:c r="L708" s="2" t="str">
        <x:v>없음</x:v>
      </x:c>
      <x:c r="M708" s="2" t="str">
        <x:v>수호천사 행복 연금보험</x:v>
      </x:c>
      <x:c r="N708" s="2" t="str">
        <x:f>VLOOKUP(M708,'분류기준'!$A$5:$B$8,2,FALSE)</x:f>
        <x:v>연금보험</x:v>
      </x:c>
      <x:c r="O708" s="2" t="str">
        <x:v>특약 없음</x:v>
      </x:c>
      <x:c r="P708" s="2" t="str">
        <x:f>IF(O708="선택 안함","선택 안함",IF(O708="특약 없음","특약 없음","가입"))</x:f>
        <x:v>특약 없음</x:v>
      </x:c>
      <x:c r="Q708" s="2" t="str">
        <x:f>IF(P708="가입","가입","미가입")</x:f>
        <x:v>미가입</x:v>
      </x:c>
    </x:row>
    <x:row r="709" ht="23" customHeight="1">
      <x:c r="A709" s="2" t="str">
        <x:v>C0207</x:v>
      </x:c>
      <x:c r="B709" s="7" t="n">
        <x:v>52</x:v>
      </x:c>
      <x:c r="C709" s="2" t="str">
        <x:f>INT(B709/10)*10&amp;"대"</x:f>
        <x:v>50대</x:v>
      </x:c>
      <x:c r="D709" s="2" t="str">
        <x:v>남성</x:v>
      </x:c>
      <x:c r="E709" s="7" t="n">
        <x:v>3000</x:v>
      </x:c>
      <x:c r="F709" s="7" t="n">
        <x:v>1</x:v>
      </x:c>
      <x:c r="G709" s="2" t="str">
        <x:v>기혼</x:v>
      </x:c>
      <x:c r="H709" s="7" t="n">
        <x:v>1</x:v>
      </x:c>
      <x:c r="I709" s="2" t="str">
        <x:f>IF(H709&lt;3,H709&amp;"명","3명 이상")</x:f>
        <x:v>1명</x:v>
      </x:c>
      <x:c r="J709" s="2" t="str">
        <x:v>비흡연</x:v>
      </x:c>
      <x:c r="K709" s="2" t="str">
        <x:v>고혈압</x:v>
      </x:c>
      <x:c r="L709" s="2" t="str">
        <x:v>암</x:v>
      </x:c>
      <x:c r="M709" s="2" t="str">
        <x:v>수호천사 간편심사(유병자)보험</x:v>
      </x:c>
      <x:c r="N709" s="2" t="str">
        <x:f>VLOOKUP(M709,'분류기준'!$A$5:$B$8,2,FALSE)</x:f>
        <x:v>간편심사보험</x:v>
      </x:c>
      <x:c r="O709" s="2" t="str">
        <x:v>중증질환 산정특례 보장 특약</x:v>
      </x:c>
      <x:c r="P709" s="2" t="str">
        <x:f>IF(O709="선택 안함","선택 안함",IF(O709="특약 없음","특약 없음","가입"))</x:f>
        <x:v>가입</x:v>
      </x:c>
      <x:c r="Q709" s="2" t="str">
        <x:f>IF(P709="가입","가입","미가입")</x:f>
        <x:v>가입</x:v>
      </x:c>
    </x:row>
    <x:row r="710" ht="23" customHeight="1">
      <x:c r="A710" s="2" t="str">
        <x:v>C0227</x:v>
      </x:c>
      <x:c r="B710" s="7" t="n">
        <x:v>52</x:v>
      </x:c>
      <x:c r="C710" s="2" t="str">
        <x:f>INT(B710/10)*10&amp;"대"</x:f>
        <x:v>50대</x:v>
      </x:c>
      <x:c r="D710" s="2" t="str">
        <x:v>남성</x:v>
      </x:c>
      <x:c r="E710" s="7" t="n">
        <x:v>4000</x:v>
      </x:c>
      <x:c r="F710" s="7" t="n">
        <x:v>1</x:v>
      </x:c>
      <x:c r="G710" s="2" t="str">
        <x:v>기혼</x:v>
      </x:c>
      <x:c r="H710" s="7" t="n">
        <x:v>1</x:v>
      </x:c>
      <x:c r="I710" s="2" t="str">
        <x:f>IF(H710&lt;3,H710&amp;"명","3명 이상")</x:f>
        <x:v>1명</x:v>
      </x:c>
      <x:c r="J710" s="2" t="str">
        <x:v>비흡연</x:v>
      </x:c>
      <x:c r="K710" s="2" t="str">
        <x:v>고혈압</x:v>
      </x:c>
      <x:c r="L710" s="2" t="str">
        <x:v>없음</x:v>
      </x:c>
      <x:c r="M710" s="2" t="str">
        <x:v>수호천사 간편심사(유병자)보험</x:v>
      </x:c>
      <x:c r="N710" s="2" t="str">
        <x:f>VLOOKUP(M710,'분류기준'!$A$5:$B$8,2,FALSE)</x:f>
        <x:v>간편심사보험</x:v>
      </x:c>
      <x:c r="O710" s="2" t="str">
        <x:v>중증질환 산정특례 보장 특약</x:v>
      </x:c>
      <x:c r="P710" s="2" t="str">
        <x:f>IF(O710="선택 안함","선택 안함",IF(O710="특약 없음","특약 없음","가입"))</x:f>
        <x:v>가입</x:v>
      </x:c>
      <x:c r="Q710" s="2" t="str">
        <x:f>IF(P710="가입","가입","미가입")</x:f>
        <x:v>가입</x:v>
      </x:c>
    </x:row>
    <x:row r="711" ht="23" customHeight="1">
      <x:c r="A711" s="2" t="str">
        <x:v>C0243</x:v>
      </x:c>
      <x:c r="B711" s="7" t="n">
        <x:v>52</x:v>
      </x:c>
      <x:c r="C711" s="2" t="str">
        <x:f>INT(B711/10)*10&amp;"대"</x:f>
        <x:v>50대</x:v>
      </x:c>
      <x:c r="D711" s="2" t="str">
        <x:v>여성</x:v>
      </x:c>
      <x:c r="E711" s="7" t="n">
        <x:v>4000</x:v>
      </x:c>
      <x:c r="F711" s="7" t="n">
        <x:v>2</x:v>
      </x:c>
      <x:c r="G711" s="2" t="str">
        <x:v>기혼</x:v>
      </x:c>
      <x:c r="H711" s="7" t="n">
        <x:v>2</x:v>
      </x:c>
      <x:c r="I711" s="2" t="str">
        <x:f>IF(H711&lt;3,H711&amp;"명","3명 이상")</x:f>
        <x:v>2명</x:v>
      </x:c>
      <x:c r="J711" s="2" t="str">
        <x:v>비흡연</x:v>
      </x:c>
      <x:c r="K711" s="2" t="str">
        <x:v>없음</x:v>
      </x:c>
      <x:c r="L711" s="2" t="str">
        <x:v>암</x:v>
      </x:c>
      <x:c r="M711" s="2" t="str">
        <x:v>수호천사 암/건강보험</x:v>
      </x:c>
      <x:c r="N711" s="2" t="str">
        <x:f>VLOOKUP(M711,'분류기준'!$A$5:$B$8,2,FALSE)</x:f>
        <x:v>암/건강보험</x:v>
      </x:c>
      <x:c r="O711" s="2" t="str">
        <x:v>표적항암약물허가치료 특약</x:v>
      </x:c>
      <x:c r="P711" s="2" t="str">
        <x:f>IF(O711="선택 안함","선택 안함",IF(O711="특약 없음","특약 없음","가입"))</x:f>
        <x:v>가입</x:v>
      </x:c>
      <x:c r="Q711" s="2" t="str">
        <x:f>IF(P711="가입","가입","미가입")</x:f>
        <x:v>가입</x:v>
      </x:c>
    </x:row>
    <x:row r="712" ht="23" customHeight="1">
      <x:c r="A712" s="2" t="str">
        <x:v>C0274</x:v>
      </x:c>
      <x:c r="B712" s="7" t="n">
        <x:v>52</x:v>
      </x:c>
      <x:c r="C712" s="2" t="str">
        <x:f>INT(B712/10)*10&amp;"대"</x:f>
        <x:v>50대</x:v>
      </x:c>
      <x:c r="D712" s="2" t="str">
        <x:v>여성</x:v>
      </x:c>
      <x:c r="E712" s="7" t="n">
        <x:v>3000</x:v>
      </x:c>
      <x:c r="F712" s="7" t="n">
        <x:v>1</x:v>
      </x:c>
      <x:c r="G712" s="2" t="str">
        <x:v>기혼</x:v>
      </x:c>
      <x:c r="H712" s="7" t="n">
        <x:v>2</x:v>
      </x:c>
      <x:c r="I712" s="2" t="str">
        <x:f>IF(H712&lt;3,H712&amp;"명","3명 이상")</x:f>
        <x:v>2명</x:v>
      </x:c>
      <x:c r="J712" s="2" t="str">
        <x:v>비흡연</x:v>
      </x:c>
      <x:c r="K712" s="2" t="str">
        <x:v>고혈압</x:v>
      </x:c>
      <x:c r="L712" s="2" t="str">
        <x:v>없음</x:v>
      </x:c>
      <x:c r="M712" s="2" t="str">
        <x:v>수호천사 행복 연금보험</x:v>
      </x:c>
      <x:c r="N712" s="2" t="str">
        <x:f>VLOOKUP(M712,'분류기준'!$A$5:$B$8,2,FALSE)</x:f>
        <x:v>연금보험</x:v>
      </x:c>
      <x:c r="O712" s="2" t="str">
        <x:v>특약 없음</x:v>
      </x:c>
      <x:c r="P712" s="2" t="str">
        <x:f>IF(O712="선택 안함","선택 안함",IF(O712="특약 없음","특약 없음","가입"))</x:f>
        <x:v>특약 없음</x:v>
      </x:c>
      <x:c r="Q712" s="2" t="str">
        <x:f>IF(P712="가입","가입","미가입")</x:f>
        <x:v>미가입</x:v>
      </x:c>
    </x:row>
    <x:row r="713" ht="23" customHeight="1">
      <x:c r="A713" s="2" t="str">
        <x:v>C0295</x:v>
      </x:c>
      <x:c r="B713" s="7" t="n">
        <x:v>52</x:v>
      </x:c>
      <x:c r="C713" s="2" t="str">
        <x:f>INT(B713/10)*10&amp;"대"</x:f>
        <x:v>50대</x:v>
      </x:c>
      <x:c r="D713" s="2" t="str">
        <x:v>남성</x:v>
      </x:c>
      <x:c r="E713" s="7" t="n">
        <x:v>4000</x:v>
      </x:c>
      <x:c r="F713" s="7" t="n">
        <x:v>1</x:v>
      </x:c>
      <x:c r="G713" s="2" t="str">
        <x:v>기혼</x:v>
      </x:c>
      <x:c r="H713" s="7" t="n">
        <x:v>2</x:v>
      </x:c>
      <x:c r="I713" s="2" t="str">
        <x:f>IF(H713&lt;3,H713&amp;"명","3명 이상")</x:f>
        <x:v>2명</x:v>
      </x:c>
      <x:c r="J713" s="2" t="str">
        <x:v>비흡연</x:v>
      </x:c>
      <x:c r="K713" s="2" t="str">
        <x:v>없음</x:v>
      </x:c>
      <x:c r="L713" s="2" t="str">
        <x:v>심혈관</x:v>
      </x:c>
      <x:c r="M713" s="2" t="str">
        <x:v>수호천사 암/건강보험</x:v>
      </x:c>
      <x:c r="N713" s="2" t="str">
        <x:f>VLOOKUP(M713,'분류기준'!$A$5:$B$8,2,FALSE)</x:f>
        <x:v>암/건강보험</x:v>
      </x:c>
      <x:c r="O713" s="2" t="str">
        <x:v>수술비 보장 특약</x:v>
      </x:c>
      <x:c r="P713" s="2" t="str">
        <x:f>IF(O713="선택 안함","선택 안함",IF(O713="특약 없음","특약 없음","가입"))</x:f>
        <x:v>가입</x:v>
      </x:c>
      <x:c r="Q713" s="2" t="str">
        <x:f>IF(P713="가입","가입","미가입")</x:f>
        <x:v>가입</x:v>
      </x:c>
    </x:row>
    <x:row r="714" ht="23" customHeight="1">
      <x:c r="A714" s="2" t="str">
        <x:v>C0297</x:v>
      </x:c>
      <x:c r="B714" s="7" t="n">
        <x:v>52</x:v>
      </x:c>
      <x:c r="C714" s="2" t="str">
        <x:f>INT(B714/10)*10&amp;"대"</x:f>
        <x:v>50대</x:v>
      </x:c>
      <x:c r="D714" s="2" t="str">
        <x:v>남성</x:v>
      </x:c>
      <x:c r="E714" s="7" t="n">
        <x:v>5000</x:v>
      </x:c>
      <x:c r="F714" s="7" t="n">
        <x:v>1</x:v>
      </x:c>
      <x:c r="G714" s="2" t="str">
        <x:v>미혼</x:v>
      </x:c>
      <x:c r="H714" s="7" t="n">
        <x:v>0</x:v>
      </x:c>
      <x:c r="I714" s="2" t="str">
        <x:f>IF(H714&lt;3,H714&amp;"명","3명 이상")</x:f>
        <x:v>0명</x:v>
      </x:c>
      <x:c r="J714" s="2" t="str">
        <x:v>비흡연</x:v>
      </x:c>
      <x:c r="K714" s="2" t="str">
        <x:v>없음</x:v>
      </x:c>
      <x:c r="L714" s="2" t="str">
        <x:v>없음</x:v>
      </x:c>
      <x:c r="M714" s="2" t="str">
        <x:v>수호천사 행복 연금보험</x:v>
      </x:c>
      <x:c r="N714" s="2" t="str">
        <x:f>VLOOKUP(M714,'분류기준'!$A$5:$B$8,2,FALSE)</x:f>
        <x:v>연금보험</x:v>
      </x:c>
      <x:c r="O714" s="2" t="str">
        <x:v>특약 없음</x:v>
      </x:c>
      <x:c r="P714" s="2" t="str">
        <x:f>IF(O714="선택 안함","선택 안함",IF(O714="특약 없음","특약 없음","가입"))</x:f>
        <x:v>특약 없음</x:v>
      </x:c>
      <x:c r="Q714" s="2" t="str">
        <x:f>IF(P714="가입","가입","미가입")</x:f>
        <x:v>미가입</x:v>
      </x:c>
    </x:row>
    <x:row r="715" ht="23" customHeight="1">
      <x:c r="A715" s="2" t="str">
        <x:v>C0305</x:v>
      </x:c>
      <x:c r="B715" s="7" t="n">
        <x:v>52</x:v>
      </x:c>
      <x:c r="C715" s="2" t="str">
        <x:f>INT(B715/10)*10&amp;"대"</x:f>
        <x:v>50대</x:v>
      </x:c>
      <x:c r="D715" s="2" t="str">
        <x:v>남성</x:v>
      </x:c>
      <x:c r="E715" s="7" t="n">
        <x:v>12000</x:v>
      </x:c>
      <x:c r="F715" s="7" t="n">
        <x:v>2</x:v>
      </x:c>
      <x:c r="G715" s="2" t="str">
        <x:v>기혼</x:v>
      </x:c>
      <x:c r="H715" s="7" t="n">
        <x:v>1</x:v>
      </x:c>
      <x:c r="I715" s="2" t="str">
        <x:f>IF(H715&lt;3,H715&amp;"명","3명 이상")</x:f>
        <x:v>1명</x:v>
      </x:c>
      <x:c r="J715" s="2" t="str">
        <x:v>흡연</x:v>
      </x:c>
      <x:c r="K715" s="2" t="str">
        <x:v>고혈압</x:v>
      </x:c>
      <x:c r="L715" s="2" t="str">
        <x:v>암</x:v>
      </x:c>
      <x:c r="M715" s="2" t="str">
        <x:v>수호천사 암/건강보험</x:v>
      </x:c>
      <x:c r="N715" s="2" t="str">
        <x:f>VLOOKUP(M715,'분류기준'!$A$5:$B$8,2,FALSE)</x:f>
        <x:v>암/건강보험</x:v>
      </x:c>
      <x:c r="O715" s="2" t="str">
        <x:v>표적항암약물허가치료 특약</x:v>
      </x:c>
      <x:c r="P715" s="2" t="str">
        <x:f>IF(O715="선택 안함","선택 안함",IF(O715="특약 없음","특약 없음","가입"))</x:f>
        <x:v>가입</x:v>
      </x:c>
      <x:c r="Q715" s="2" t="str">
        <x:f>IF(P715="가입","가입","미가입")</x:f>
        <x:v>가입</x:v>
      </x:c>
    </x:row>
    <x:row r="716" ht="23" customHeight="1">
      <x:c r="A716" s="2" t="str">
        <x:v>C0320</x:v>
      </x:c>
      <x:c r="B716" s="7" t="n">
        <x:v>52</x:v>
      </x:c>
      <x:c r="C716" s="2" t="str">
        <x:f>INT(B716/10)*10&amp;"대"</x:f>
        <x:v>50대</x:v>
      </x:c>
      <x:c r="D716" s="2" t="str">
        <x:v>여성</x:v>
      </x:c>
      <x:c r="E716" s="7" t="n">
        <x:v>12000</x:v>
      </x:c>
      <x:c r="F716" s="7" t="n">
        <x:v>3</x:v>
      </x:c>
      <x:c r="G716" s="2" t="str">
        <x:v>기혼</x:v>
      </x:c>
      <x:c r="H716" s="7" t="n">
        <x:v>0</x:v>
      </x:c>
      <x:c r="I716" s="2" t="str">
        <x:f>IF(H716&lt;3,H716&amp;"명","3명 이상")</x:f>
        <x:v>0명</x:v>
      </x:c>
      <x:c r="J716" s="2" t="str">
        <x:v>흡연</x:v>
      </x:c>
      <x:c r="K716" s="2" t="str">
        <x:v>없음</x:v>
      </x:c>
      <x:c r="L716" s="2" t="str">
        <x:v>암</x:v>
      </x:c>
      <x:c r="M716" s="2" t="str">
        <x:v>수호천사 행복 연금보험</x:v>
      </x:c>
      <x:c r="N716" s="2" t="str">
        <x:f>VLOOKUP(M716,'분류기준'!$A$5:$B$8,2,FALSE)</x:f>
        <x:v>연금보험</x:v>
      </x:c>
      <x:c r="O716" s="2" t="str">
        <x:v>특약 없음</x:v>
      </x:c>
      <x:c r="P716" s="2" t="str">
        <x:f>IF(O716="선택 안함","선택 안함",IF(O716="특약 없음","특약 없음","가입"))</x:f>
        <x:v>특약 없음</x:v>
      </x:c>
      <x:c r="Q716" s="2" t="str">
        <x:f>IF(P716="가입","가입","미가입")</x:f>
        <x:v>미가입</x:v>
      </x:c>
    </x:row>
    <x:row r="717" ht="23" customHeight="1">
      <x:c r="A717" s="2" t="str">
        <x:v>C0322</x:v>
      </x:c>
      <x:c r="B717" s="7" t="n">
        <x:v>52</x:v>
      </x:c>
      <x:c r="C717" s="2" t="str">
        <x:f>INT(B717/10)*10&amp;"대"</x:f>
        <x:v>50대</x:v>
      </x:c>
      <x:c r="D717" s="2" t="str">
        <x:v>남성</x:v>
      </x:c>
      <x:c r="E717" s="7" t="n">
        <x:v>4000</x:v>
      </x:c>
      <x:c r="F717" s="7" t="n">
        <x:v>1</x:v>
      </x:c>
      <x:c r="G717" s="2" t="str">
        <x:v>기혼</x:v>
      </x:c>
      <x:c r="H717" s="7" t="n">
        <x:v>0</x:v>
      </x:c>
      <x:c r="I717" s="2" t="str">
        <x:f>IF(H717&lt;3,H717&amp;"명","3명 이상")</x:f>
        <x:v>0명</x:v>
      </x:c>
      <x:c r="J717" s="2" t="str">
        <x:v>흡연</x:v>
      </x:c>
      <x:c r="K717" s="2" t="str">
        <x:v>없음</x:v>
      </x:c>
      <x:c r="L717" s="2" t="str">
        <x:v>없음</x:v>
      </x:c>
      <x:c r="M717" s="2" t="str">
        <x:v>수호천사 행복 연금보험</x:v>
      </x:c>
      <x:c r="N717" s="2" t="str">
        <x:f>VLOOKUP(M717,'분류기준'!$A$5:$B$8,2,FALSE)</x:f>
        <x:v>연금보험</x:v>
      </x:c>
      <x:c r="O717" s="2" t="str">
        <x:v>특약 없음</x:v>
      </x:c>
      <x:c r="P717" s="2" t="str">
        <x:f>IF(O717="선택 안함","선택 안함",IF(O717="특약 없음","특약 없음","가입"))</x:f>
        <x:v>특약 없음</x:v>
      </x:c>
      <x:c r="Q717" s="2" t="str">
        <x:f>IF(P717="가입","가입","미가입")</x:f>
        <x:v>미가입</x:v>
      </x:c>
    </x:row>
    <x:row r="718" ht="23" customHeight="1">
      <x:c r="A718" s="2" t="str">
        <x:v>C0342</x:v>
      </x:c>
      <x:c r="B718" s="7" t="n">
        <x:v>52</x:v>
      </x:c>
      <x:c r="C718" s="2" t="str">
        <x:f>INT(B718/10)*10&amp;"대"</x:f>
        <x:v>50대</x:v>
      </x:c>
      <x:c r="D718" s="2" t="str">
        <x:v>여성</x:v>
      </x:c>
      <x:c r="E718" s="7" t="n">
        <x:v>6000</x:v>
      </x:c>
      <x:c r="F718" s="7" t="n">
        <x:v>1</x:v>
      </x:c>
      <x:c r="G718" s="2" t="str">
        <x:v>기혼</x:v>
      </x:c>
      <x:c r="H718" s="7" t="n">
        <x:v>1</x:v>
      </x:c>
      <x:c r="I718" s="2" t="str">
        <x:f>IF(H718&lt;3,H718&amp;"명","3명 이상")</x:f>
        <x:v>1명</x:v>
      </x:c>
      <x:c r="J718" s="2" t="str">
        <x:v>비흡연</x:v>
      </x:c>
      <x:c r="K718" s="2" t="str">
        <x:v>고혈압</x:v>
      </x:c>
      <x:c r="L718" s="2" t="str">
        <x:v>없음</x:v>
      </x:c>
      <x:c r="M718" s="2" t="str">
        <x:v>수호천사 간편심사(유병자)보험</x:v>
      </x:c>
      <x:c r="N718" s="2" t="str">
        <x:f>VLOOKUP(M718,'분류기준'!$A$5:$B$8,2,FALSE)</x:f>
        <x:v>간편심사보험</x:v>
      </x:c>
      <x:c r="O718" s="2" t="str">
        <x:v>중증질환 산정특례 보장 특약</x:v>
      </x:c>
      <x:c r="P718" s="2" t="str">
        <x:f>IF(O718="선택 안함","선택 안함",IF(O718="특약 없음","특약 없음","가입"))</x:f>
        <x:v>가입</x:v>
      </x:c>
      <x:c r="Q718" s="2" t="str">
        <x:f>IF(P718="가입","가입","미가입")</x:f>
        <x:v>가입</x:v>
      </x:c>
    </x:row>
    <x:row r="719" ht="23" customHeight="1">
      <x:c r="A719" s="2" t="str">
        <x:v>C0346</x:v>
      </x:c>
      <x:c r="B719" s="7" t="n">
        <x:v>52</x:v>
      </x:c>
      <x:c r="C719" s="2" t="str">
        <x:f>INT(B719/10)*10&amp;"대"</x:f>
        <x:v>50대</x:v>
      </x:c>
      <x:c r="D719" s="2" t="str">
        <x:v>남성</x:v>
      </x:c>
      <x:c r="E719" s="7" t="n">
        <x:v>5000</x:v>
      </x:c>
      <x:c r="F719" s="7" t="n">
        <x:v>1</x:v>
      </x:c>
      <x:c r="G719" s="2" t="str">
        <x:v>기혼</x:v>
      </x:c>
      <x:c r="H719" s="7" t="n">
        <x:v>1</x:v>
      </x:c>
      <x:c r="I719" s="2" t="str">
        <x:f>IF(H719&lt;3,H719&amp;"명","3명 이상")</x:f>
        <x:v>1명</x:v>
      </x:c>
      <x:c r="J719" s="2" t="str">
        <x:v>비흡연</x:v>
      </x:c>
      <x:c r="K719" s="2" t="str">
        <x:v>당뇨</x:v>
      </x:c>
      <x:c r="L719" s="2" t="str">
        <x:v>없음</x:v>
      </x:c>
      <x:c r="M719" s="2" t="str">
        <x:v>수호천사 간편심사(유병자)보험</x:v>
      </x:c>
      <x:c r="N719" s="2" t="str">
        <x:f>VLOOKUP(M719,'분류기준'!$A$5:$B$8,2,FALSE)</x:f>
        <x:v>간편심사보험</x:v>
      </x:c>
      <x:c r="O719" s="2" t="str">
        <x:v>중증질환 산정특례 보장 특약</x:v>
      </x:c>
      <x:c r="P719" s="2" t="str">
        <x:f>IF(O719="선택 안함","선택 안함",IF(O719="특약 없음","특약 없음","가입"))</x:f>
        <x:v>가입</x:v>
      </x:c>
      <x:c r="Q719" s="2" t="str">
        <x:f>IF(P719="가입","가입","미가입")</x:f>
        <x:v>가입</x:v>
      </x:c>
    </x:row>
    <x:row r="720" ht="23" customHeight="1">
      <x:c r="A720" s="2" t="str">
        <x:v>C0366</x:v>
      </x:c>
      <x:c r="B720" s="7" t="n">
        <x:v>52</x:v>
      </x:c>
      <x:c r="C720" s="2" t="str">
        <x:f>INT(B720/10)*10&amp;"대"</x:f>
        <x:v>50대</x:v>
      </x:c>
      <x:c r="D720" s="2" t="str">
        <x:v>남성</x:v>
      </x:c>
      <x:c r="E720" s="7" t="n">
        <x:v>4000</x:v>
      </x:c>
      <x:c r="F720" s="7" t="n">
        <x:v>3</x:v>
      </x:c>
      <x:c r="G720" s="2" t="str">
        <x:v>기혼</x:v>
      </x:c>
      <x:c r="H720" s="7" t="n">
        <x:v>0</x:v>
      </x:c>
      <x:c r="I720" s="2" t="str">
        <x:f>IF(H720&lt;3,H720&amp;"명","3명 이상")</x:f>
        <x:v>0명</x:v>
      </x:c>
      <x:c r="J720" s="2" t="str">
        <x:v>비흡연</x:v>
      </x:c>
      <x:c r="K720" s="2" t="str">
        <x:v>고혈압</x:v>
      </x:c>
      <x:c r="L720" s="2" t="str">
        <x:v>없음</x:v>
      </x:c>
      <x:c r="M720" s="2" t="str">
        <x:v>수호천사 간편심사(유병자)보험</x:v>
      </x:c>
      <x:c r="N720" s="2" t="str">
        <x:f>VLOOKUP(M720,'분류기준'!$A$5:$B$8,2,FALSE)</x:f>
        <x:v>간편심사보험</x:v>
      </x:c>
      <x:c r="O720" s="2" t="str">
        <x:v>중증질환 산정특례 보장 특약</x:v>
      </x:c>
      <x:c r="P720" s="2" t="str">
        <x:f>IF(O720="선택 안함","선택 안함",IF(O720="특약 없음","특약 없음","가입"))</x:f>
        <x:v>가입</x:v>
      </x:c>
      <x:c r="Q720" s="2" t="str">
        <x:f>IF(P720="가입","가입","미가입")</x:f>
        <x:v>가입</x:v>
      </x:c>
    </x:row>
    <x:row r="721" ht="23" customHeight="1">
      <x:c r="A721" s="2" t="str">
        <x:v>C0403</x:v>
      </x:c>
      <x:c r="B721" s="7" t="n">
        <x:v>52</x:v>
      </x:c>
      <x:c r="C721" s="2" t="str">
        <x:f>INT(B721/10)*10&amp;"대"</x:f>
        <x:v>50대</x:v>
      </x:c>
      <x:c r="D721" s="2" t="str">
        <x:v>여성</x:v>
      </x:c>
      <x:c r="E721" s="7" t="n">
        <x:v>6000</x:v>
      </x:c>
      <x:c r="F721" s="7" t="n">
        <x:v>1</x:v>
      </x:c>
      <x:c r="G721" s="2" t="str">
        <x:v>기혼</x:v>
      </x:c>
      <x:c r="H721" s="7" t="n">
        <x:v>2</x:v>
      </x:c>
      <x:c r="I721" s="2" t="str">
        <x:f>IF(H721&lt;3,H721&amp;"명","3명 이상")</x:f>
        <x:v>2명</x:v>
      </x:c>
      <x:c r="J721" s="2" t="str">
        <x:v>흡연</x:v>
      </x:c>
      <x:c r="K721" s="2" t="str">
        <x:v>고혈압</x:v>
      </x:c>
      <x:c r="L721" s="2" t="str">
        <x:v>없음</x:v>
      </x:c>
      <x:c r="M721" s="2" t="str">
        <x:v>수호천사 간편심사(유병자)보험</x:v>
      </x:c>
      <x:c r="N721" s="2" t="str">
        <x:f>VLOOKUP(M721,'분류기준'!$A$5:$B$8,2,FALSE)</x:f>
        <x:v>간편심사보험</x:v>
      </x:c>
      <x:c r="O721" s="2" t="str">
        <x:v>중증질환 산정특례 보장 특약</x:v>
      </x:c>
      <x:c r="P721" s="2" t="str">
        <x:f>IF(O721="선택 안함","선택 안함",IF(O721="특약 없음","특약 없음","가입"))</x:f>
        <x:v>가입</x:v>
      </x:c>
      <x:c r="Q721" s="2" t="str">
        <x:f>IF(P721="가입","가입","미가입")</x:f>
        <x:v>가입</x:v>
      </x:c>
    </x:row>
    <x:row r="722" ht="23" customHeight="1">
      <x:c r="A722" s="2" t="str">
        <x:v>C0463</x:v>
      </x:c>
      <x:c r="B722" s="7" t="n">
        <x:v>52</x:v>
      </x:c>
      <x:c r="C722" s="2" t="str">
        <x:f>INT(B722/10)*10&amp;"대"</x:f>
        <x:v>50대</x:v>
      </x:c>
      <x:c r="D722" s="2" t="str">
        <x:v>남성</x:v>
      </x:c>
      <x:c r="E722" s="7" t="n">
        <x:v>9000</x:v>
      </x:c>
      <x:c r="F722" s="7" t="n">
        <x:v>1</x:v>
      </x:c>
      <x:c r="G722" s="2" t="str">
        <x:v>기혼</x:v>
      </x:c>
      <x:c r="H722" s="7" t="n">
        <x:v>1</x:v>
      </x:c>
      <x:c r="I722" s="2" t="str">
        <x:f>IF(H722&lt;3,H722&amp;"명","3명 이상")</x:f>
        <x:v>1명</x:v>
      </x:c>
      <x:c r="J722" s="2" t="str">
        <x:v>비흡연</x:v>
      </x:c>
      <x:c r="K722" s="2" t="str">
        <x:v>당뇨</x:v>
      </x:c>
      <x:c r="L722" s="2" t="str">
        <x:v>없음</x:v>
      </x:c>
      <x:c r="M722" s="2" t="str">
        <x:v>수호천사 간편심사(유병자)보험</x:v>
      </x:c>
      <x:c r="N722" s="2" t="str">
        <x:f>VLOOKUP(M722,'분류기준'!$A$5:$B$8,2,FALSE)</x:f>
        <x:v>간편심사보험</x:v>
      </x:c>
      <x:c r="O722" s="2" t="str">
        <x:v>중증질환 산정특례 보장 특약</x:v>
      </x:c>
      <x:c r="P722" s="2" t="str">
        <x:f>IF(O722="선택 안함","선택 안함",IF(O722="특약 없음","특약 없음","가입"))</x:f>
        <x:v>가입</x:v>
      </x:c>
      <x:c r="Q722" s="2" t="str">
        <x:f>IF(P722="가입","가입","미가입")</x:f>
        <x:v>가입</x:v>
      </x:c>
    </x:row>
    <x:row r="723" ht="23" customHeight="1">
      <x:c r="A723" s="2" t="str">
        <x:v>C0490</x:v>
      </x:c>
      <x:c r="B723" s="7" t="n">
        <x:v>52</x:v>
      </x:c>
      <x:c r="C723" s="2" t="str">
        <x:f>INT(B723/10)*10&amp;"대"</x:f>
        <x:v>50대</x:v>
      </x:c>
      <x:c r="D723" s="2" t="str">
        <x:v>여성</x:v>
      </x:c>
      <x:c r="E723" s="7" t="n">
        <x:v>12000</x:v>
      </x:c>
      <x:c r="F723" s="7" t="n">
        <x:v>2</x:v>
      </x:c>
      <x:c r="G723" s="2" t="str">
        <x:v>기혼</x:v>
      </x:c>
      <x:c r="H723" s="7" t="n">
        <x:v>1</x:v>
      </x:c>
      <x:c r="I723" s="2" t="str">
        <x:f>IF(H723&lt;3,H723&amp;"명","3명 이상")</x:f>
        <x:v>1명</x:v>
      </x:c>
      <x:c r="J723" s="2" t="str">
        <x:v>비흡연</x:v>
      </x:c>
      <x:c r="K723" s="2" t="str">
        <x:v>없음</x:v>
      </x:c>
      <x:c r="L723" s="2" t="str">
        <x:v>없음</x:v>
      </x:c>
      <x:c r="M723" s="2" t="str">
        <x:v>수호천사 우리가족 종신보험</x:v>
      </x:c>
      <x:c r="N723" s="2" t="str">
        <x:f>VLOOKUP(M723,'분류기준'!$A$5:$B$8,2,FALSE)</x:f>
        <x:v>종신보험</x:v>
      </x:c>
      <x:c r="O723" s="2" t="str">
        <x:v>가족 수입 보장 특약</x:v>
      </x:c>
      <x:c r="P723" s="2" t="str">
        <x:f>IF(O723="선택 안함","선택 안함",IF(O723="특약 없음","특약 없음","가입"))</x:f>
        <x:v>가입</x:v>
      </x:c>
      <x:c r="Q723" s="2" t="str">
        <x:f>IF(P723="가입","가입","미가입")</x:f>
        <x:v>가입</x:v>
      </x:c>
    </x:row>
    <x:row r="724" ht="23" customHeight="1">
      <x:c r="A724" s="2" t="str">
        <x:v>C0491</x:v>
      </x:c>
      <x:c r="B724" s="7" t="n">
        <x:v>52</x:v>
      </x:c>
      <x:c r="C724" s="2" t="str">
        <x:f>INT(B724/10)*10&amp;"대"</x:f>
        <x:v>50대</x:v>
      </x:c>
      <x:c r="D724" s="2" t="str">
        <x:v>여성</x:v>
      </x:c>
      <x:c r="E724" s="7" t="n">
        <x:v>5000</x:v>
      </x:c>
      <x:c r="F724" s="7" t="n">
        <x:v>1</x:v>
      </x:c>
      <x:c r="G724" s="2" t="str">
        <x:v>기혼</x:v>
      </x:c>
      <x:c r="H724" s="7" t="n">
        <x:v>2</x:v>
      </x:c>
      <x:c r="I724" s="2" t="str">
        <x:f>IF(H724&lt;3,H724&amp;"명","3명 이상")</x:f>
        <x:v>2명</x:v>
      </x:c>
      <x:c r="J724" s="2" t="str">
        <x:v>비흡연</x:v>
      </x:c>
      <x:c r="K724" s="2" t="str">
        <x:v>없음</x:v>
      </x:c>
      <x:c r="L724" s="2" t="str">
        <x:v>없음</x:v>
      </x:c>
      <x:c r="M724" s="2" t="str">
        <x:v>수호천사 암/건강보험</x:v>
      </x:c>
      <x:c r="N724" s="2" t="str">
        <x:f>VLOOKUP(M724,'분류기준'!$A$5:$B$8,2,FALSE)</x:f>
        <x:v>암/건강보험</x:v>
      </x:c>
      <x:c r="O724" s="2" t="str">
        <x:v>표적항암약물허가치료 특약</x:v>
      </x:c>
      <x:c r="P724" s="2" t="str">
        <x:f>IF(O724="선택 안함","선택 안함",IF(O724="특약 없음","특약 없음","가입"))</x:f>
        <x:v>가입</x:v>
      </x:c>
      <x:c r="Q724" s="2" t="str">
        <x:f>IF(P724="가입","가입","미가입")</x:f>
        <x:v>가입</x:v>
      </x:c>
    </x:row>
    <x:row r="725" ht="23" customHeight="1">
      <x:c r="A725" s="2" t="str">
        <x:v>C0497</x:v>
      </x:c>
      <x:c r="B725" s="7" t="n">
        <x:v>52</x:v>
      </x:c>
      <x:c r="C725" s="2" t="str">
        <x:f>INT(B725/10)*10&amp;"대"</x:f>
        <x:v>50대</x:v>
      </x:c>
      <x:c r="D725" s="2" t="str">
        <x:v>여성</x:v>
      </x:c>
      <x:c r="E725" s="7" t="n">
        <x:v>4000</x:v>
      </x:c>
      <x:c r="F725" s="7" t="n">
        <x:v>2</x:v>
      </x:c>
      <x:c r="G725" s="2" t="str">
        <x:v>기혼</x:v>
      </x:c>
      <x:c r="H725" s="7" t="n">
        <x:v>2</x:v>
      </x:c>
      <x:c r="I725" s="2" t="str">
        <x:f>IF(H725&lt;3,H725&amp;"명","3명 이상")</x:f>
        <x:v>2명</x:v>
      </x:c>
      <x:c r="J725" s="2" t="str">
        <x:v>비흡연</x:v>
      </x:c>
      <x:c r="K725" s="2" t="str">
        <x:v>없음</x:v>
      </x:c>
      <x:c r="L725" s="2" t="str">
        <x:v>없음</x:v>
      </x:c>
      <x:c r="M725" s="2" t="str">
        <x:v>수호천사 간편심사(유병자)보험</x:v>
      </x:c>
      <x:c r="N725" s="2" t="str">
        <x:f>VLOOKUP(M725,'분류기준'!$A$5:$B$8,2,FALSE)</x:f>
        <x:v>간편심사보험</x:v>
      </x:c>
      <x:c r="O725" s="2" t="str">
        <x:v>선택 안함</x:v>
      </x:c>
      <x:c r="P725" s="2" t="str">
        <x:f>IF(O725="선택 안함","선택 안함",IF(O725="특약 없음","특약 없음","가입"))</x:f>
        <x:v>선택 안함</x:v>
      </x:c>
      <x:c r="Q725" s="2" t="str">
        <x:f>IF(P725="가입","가입","미가입")</x:f>
        <x:v>미가입</x:v>
      </x:c>
    </x:row>
    <x:row r="726" ht="23" customHeight="1">
      <x:c r="A726" s="2" t="str">
        <x:v>C0641</x:v>
      </x:c>
      <x:c r="B726" s="7" t="n">
        <x:v>52</x:v>
      </x:c>
      <x:c r="C726" s="2" t="str">
        <x:f>INT(B726/10)*10&amp;"대"</x:f>
        <x:v>50대</x:v>
      </x:c>
      <x:c r="D726" s="2" t="str">
        <x:v>여성</x:v>
      </x:c>
      <x:c r="E726" s="7" t="n">
        <x:v>3000</x:v>
      </x:c>
      <x:c r="F726" s="7" t="n">
        <x:v>1</x:v>
      </x:c>
      <x:c r="G726" s="2" t="str">
        <x:v>기혼</x:v>
      </x:c>
      <x:c r="H726" s="7" t="n">
        <x:v>1</x:v>
      </x:c>
      <x:c r="I726" s="2" t="str">
        <x:f>IF(H726&lt;3,H726&amp;"명","3명 이상")</x:f>
        <x:v>1명</x:v>
      </x:c>
      <x:c r="J726" s="2" t="str">
        <x:v>비흡연</x:v>
      </x:c>
      <x:c r="K726" s="2" t="str">
        <x:v>없음</x:v>
      </x:c>
      <x:c r="L726" s="2" t="str">
        <x:v>암</x:v>
      </x:c>
      <x:c r="M726" s="2" t="str">
        <x:v>수호천사 암/건강보험</x:v>
      </x:c>
      <x:c r="N726" s="2" t="str">
        <x:f>VLOOKUP(M726,'분류기준'!$A$5:$B$8,2,FALSE)</x:f>
        <x:v>암/건강보험</x:v>
      </x:c>
      <x:c r="O726" s="2" t="str">
        <x:v>표적항암약물허가치료 특약</x:v>
      </x:c>
      <x:c r="P726" s="2" t="str">
        <x:f>IF(O726="선택 안함","선택 안함",IF(O726="특약 없음","특약 없음","가입"))</x:f>
        <x:v>가입</x:v>
      </x:c>
      <x:c r="Q726" s="2" t="str">
        <x:f>IF(P726="가입","가입","미가입")</x:f>
        <x:v>가입</x:v>
      </x:c>
    </x:row>
    <x:row r="727" ht="23" customHeight="1">
      <x:c r="A727" s="2" t="str">
        <x:v>C0689</x:v>
      </x:c>
      <x:c r="B727" s="7" t="n">
        <x:v>52</x:v>
      </x:c>
      <x:c r="C727" s="2" t="str">
        <x:f>INT(B727/10)*10&amp;"대"</x:f>
        <x:v>50대</x:v>
      </x:c>
      <x:c r="D727" s="2" t="str">
        <x:v>남성</x:v>
      </x:c>
      <x:c r="E727" s="7" t="n">
        <x:v>12000</x:v>
      </x:c>
      <x:c r="F727" s="7" t="n">
        <x:v>3</x:v>
      </x:c>
      <x:c r="G727" s="2" t="str">
        <x:v>기혼</x:v>
      </x:c>
      <x:c r="H727" s="7" t="n">
        <x:v>1</x:v>
      </x:c>
      <x:c r="I727" s="2" t="str">
        <x:f>IF(H727&lt;3,H727&amp;"명","3명 이상")</x:f>
        <x:v>1명</x:v>
      </x:c>
      <x:c r="J727" s="2" t="str">
        <x:v>비흡연</x:v>
      </x:c>
      <x:c r="K727" s="2" t="str">
        <x:v>없음</x:v>
      </x:c>
      <x:c r="L727" s="2" t="str">
        <x:v>암</x:v>
      </x:c>
      <x:c r="M727" s="2" t="str">
        <x:v>수호천사 우리가족 종신보험</x:v>
      </x:c>
      <x:c r="N727" s="2" t="str">
        <x:f>VLOOKUP(M727,'분류기준'!$A$5:$B$8,2,FALSE)</x:f>
        <x:v>종신보험</x:v>
      </x:c>
      <x:c r="O727" s="2" t="str">
        <x:v>가족 수입 보장 특약</x:v>
      </x:c>
      <x:c r="P727" s="2" t="str">
        <x:f>IF(O727="선택 안함","선택 안함",IF(O727="특약 없음","특약 없음","가입"))</x:f>
        <x:v>가입</x:v>
      </x:c>
      <x:c r="Q727" s="2" t="str">
        <x:f>IF(P727="가입","가입","미가입")</x:f>
        <x:v>가입</x:v>
      </x:c>
    </x:row>
    <x:row r="728" ht="23" customHeight="1">
      <x:c r="A728" s="2" t="str">
        <x:v>C0706</x:v>
      </x:c>
      <x:c r="B728" s="7" t="n">
        <x:v>52</x:v>
      </x:c>
      <x:c r="C728" s="2" t="str">
        <x:f>INT(B728/10)*10&amp;"대"</x:f>
        <x:v>50대</x:v>
      </x:c>
      <x:c r="D728" s="2" t="str">
        <x:v>여성</x:v>
      </x:c>
      <x:c r="E728" s="7" t="n">
        <x:v>5000</x:v>
      </x:c>
      <x:c r="F728" s="7" t="n">
        <x:v>1</x:v>
      </x:c>
      <x:c r="G728" s="2" t="str">
        <x:v>기혼</x:v>
      </x:c>
      <x:c r="H728" s="7" t="n">
        <x:v>2</x:v>
      </x:c>
      <x:c r="I728" s="2" t="str">
        <x:f>IF(H728&lt;3,H728&amp;"명","3명 이상")</x:f>
        <x:v>2명</x:v>
      </x:c>
      <x:c r="J728" s="2" t="str">
        <x:v>비흡연</x:v>
      </x:c>
      <x:c r="K728" s="2" t="str">
        <x:v>없음</x:v>
      </x:c>
      <x:c r="L728" s="2" t="str">
        <x:v>암</x:v>
      </x:c>
      <x:c r="M728" s="2" t="str">
        <x:v>수호천사 암/건강보험</x:v>
      </x:c>
      <x:c r="N728" s="2" t="str">
        <x:f>VLOOKUP(M728,'분류기준'!$A$5:$B$8,2,FALSE)</x:f>
        <x:v>암/건강보험</x:v>
      </x:c>
      <x:c r="O728" s="2" t="str">
        <x:v>표적항암약물허가치료 특약</x:v>
      </x:c>
      <x:c r="P728" s="2" t="str">
        <x:f>IF(O728="선택 안함","선택 안함",IF(O728="특약 없음","특약 없음","가입"))</x:f>
        <x:v>가입</x:v>
      </x:c>
      <x:c r="Q728" s="2" t="str">
        <x:f>IF(P728="가입","가입","미가입")</x:f>
        <x:v>가입</x:v>
      </x:c>
    </x:row>
    <x:row r="729" ht="23" customHeight="1">
      <x:c r="A729" s="2" t="str">
        <x:v>C0717</x:v>
      </x:c>
      <x:c r="B729" s="7" t="n">
        <x:v>52</x:v>
      </x:c>
      <x:c r="C729" s="2" t="str">
        <x:f>INT(B729/10)*10&amp;"대"</x:f>
        <x:v>50대</x:v>
      </x:c>
      <x:c r="D729" s="2" t="str">
        <x:v>남성</x:v>
      </x:c>
      <x:c r="E729" s="7" t="n">
        <x:v>5000</x:v>
      </x:c>
      <x:c r="F729" s="7" t="n">
        <x:v>1</x:v>
      </x:c>
      <x:c r="G729" s="2" t="str">
        <x:v>기혼</x:v>
      </x:c>
      <x:c r="H729" s="7" t="n">
        <x:v>1</x:v>
      </x:c>
      <x:c r="I729" s="2" t="str">
        <x:f>IF(H729&lt;3,H729&amp;"명","3명 이상")</x:f>
        <x:v>1명</x:v>
      </x:c>
      <x:c r="J729" s="2" t="str">
        <x:v>비흡연</x:v>
      </x:c>
      <x:c r="K729" s="2" t="str">
        <x:v>없음</x:v>
      </x:c>
      <x:c r="L729" s="2" t="str">
        <x:v>심혈관</x:v>
      </x:c>
      <x:c r="M729" s="2" t="str">
        <x:v>수호천사 간편심사(유병자)보험</x:v>
      </x:c>
      <x:c r="N729" s="2" t="str">
        <x:f>VLOOKUP(M729,'분류기준'!$A$5:$B$8,2,FALSE)</x:f>
        <x:v>간편심사보험</x:v>
      </x:c>
      <x:c r="O729" s="2" t="str">
        <x:v>중증질환 산정특례 보장 특약</x:v>
      </x:c>
      <x:c r="P729" s="2" t="str">
        <x:f>IF(O729="선택 안함","선택 안함",IF(O729="특약 없음","특약 없음","가입"))</x:f>
        <x:v>가입</x:v>
      </x:c>
      <x:c r="Q729" s="2" t="str">
        <x:f>IF(P729="가입","가입","미가입")</x:f>
        <x:v>가입</x:v>
      </x:c>
    </x:row>
    <x:row r="730" ht="23" customHeight="1">
      <x:c r="A730" s="2" t="str">
        <x:v>C0782</x:v>
      </x:c>
      <x:c r="B730" s="7" t="n">
        <x:v>52</x:v>
      </x:c>
      <x:c r="C730" s="2" t="str">
        <x:f>INT(B730/10)*10&amp;"대"</x:f>
        <x:v>50대</x:v>
      </x:c>
      <x:c r="D730" s="2" t="str">
        <x:v>남성</x:v>
      </x:c>
      <x:c r="E730" s="7" t="n">
        <x:v>12000</x:v>
      </x:c>
      <x:c r="F730" s="7" t="n">
        <x:v>1</x:v>
      </x:c>
      <x:c r="G730" s="2" t="str">
        <x:v>미혼</x:v>
      </x:c>
      <x:c r="H730" s="7" t="n">
        <x:v>0</x:v>
      </x:c>
      <x:c r="I730" s="2" t="str">
        <x:f>IF(H730&lt;3,H730&amp;"명","3명 이상")</x:f>
        <x:v>0명</x:v>
      </x:c>
      <x:c r="J730" s="2" t="str">
        <x:v>비흡연</x:v>
      </x:c>
      <x:c r="K730" s="2" t="str">
        <x:v>없음</x:v>
      </x:c>
      <x:c r="L730" s="2" t="str">
        <x:v>암</x:v>
      </x:c>
      <x:c r="M730" s="2" t="str">
        <x:v>수호천사 암/건강보험</x:v>
      </x:c>
      <x:c r="N730" s="2" t="str">
        <x:f>VLOOKUP(M730,'분류기준'!$A$5:$B$8,2,FALSE)</x:f>
        <x:v>암/건강보험</x:v>
      </x:c>
      <x:c r="O730" s="2" t="str">
        <x:v>표적항암약물허가치료 특약</x:v>
      </x:c>
      <x:c r="P730" s="2" t="str">
        <x:f>IF(O730="선택 안함","선택 안함",IF(O730="특약 없음","특약 없음","가입"))</x:f>
        <x:v>가입</x:v>
      </x:c>
      <x:c r="Q730" s="2" t="str">
        <x:f>IF(P730="가입","가입","미가입")</x:f>
        <x:v>가입</x:v>
      </x:c>
    </x:row>
    <x:row r="731" ht="23" customHeight="1">
      <x:c r="A731" s="2" t="str">
        <x:v>C0911</x:v>
      </x:c>
      <x:c r="B731" s="7" t="n">
        <x:v>52</x:v>
      </x:c>
      <x:c r="C731" s="2" t="str">
        <x:f>INT(B731/10)*10&amp;"대"</x:f>
        <x:v>50대</x:v>
      </x:c>
      <x:c r="D731" s="2" t="str">
        <x:v>남성</x:v>
      </x:c>
      <x:c r="E731" s="7" t="n">
        <x:v>4000</x:v>
      </x:c>
      <x:c r="F731" s="7" t="n">
        <x:v>1</x:v>
      </x:c>
      <x:c r="G731" s="2" t="str">
        <x:v>기혼</x:v>
      </x:c>
      <x:c r="H731" s="7" t="n">
        <x:v>2</x:v>
      </x:c>
      <x:c r="I731" s="2" t="str">
        <x:f>IF(H731&lt;3,H731&amp;"명","3명 이상")</x:f>
        <x:v>2명</x:v>
      </x:c>
      <x:c r="J731" s="2" t="str">
        <x:v>비흡연</x:v>
      </x:c>
      <x:c r="K731" s="2" t="str">
        <x:v>당뇨</x:v>
      </x:c>
      <x:c r="L731" s="2" t="str">
        <x:v>암</x:v>
      </x:c>
      <x:c r="M731" s="2" t="str">
        <x:v>수호천사 간편심사(유병자)보험</x:v>
      </x:c>
      <x:c r="N731" s="2" t="str">
        <x:f>VLOOKUP(M731,'분류기준'!$A$5:$B$8,2,FALSE)</x:f>
        <x:v>간편심사보험</x:v>
      </x:c>
      <x:c r="O731" s="2" t="str">
        <x:v>중증질환 산정특례 보장 특약</x:v>
      </x:c>
      <x:c r="P731" s="2" t="str">
        <x:f>IF(O731="선택 안함","선택 안함",IF(O731="특약 없음","특약 없음","가입"))</x:f>
        <x:v>가입</x:v>
      </x:c>
      <x:c r="Q731" s="2" t="str">
        <x:f>IF(P731="가입","가입","미가입")</x:f>
        <x:v>가입</x:v>
      </x:c>
    </x:row>
    <x:row r="732" ht="23" customHeight="1">
      <x:c r="A732" s="2" t="str">
        <x:v>C0953</x:v>
      </x:c>
      <x:c r="B732" s="7" t="n">
        <x:v>52</x:v>
      </x:c>
      <x:c r="C732" s="2" t="str">
        <x:f>INT(B732/10)*10&amp;"대"</x:f>
        <x:v>50대</x:v>
      </x:c>
      <x:c r="D732" s="2" t="str">
        <x:v>여성</x:v>
      </x:c>
      <x:c r="E732" s="7" t="n">
        <x:v>3000</x:v>
      </x:c>
      <x:c r="F732" s="7" t="n">
        <x:v>3</x:v>
      </x:c>
      <x:c r="G732" s="2" t="str">
        <x:v>기혼</x:v>
      </x:c>
      <x:c r="H732" s="7" t="n">
        <x:v>2</x:v>
      </x:c>
      <x:c r="I732" s="2" t="str">
        <x:f>IF(H732&lt;3,H732&amp;"명","3명 이상")</x:f>
        <x:v>2명</x:v>
      </x:c>
      <x:c r="J732" s="2" t="str">
        <x:v>흡연</x:v>
      </x:c>
      <x:c r="K732" s="2" t="str">
        <x:v>없음</x:v>
      </x:c>
      <x:c r="L732" s="2" t="str">
        <x:v>심혈관</x:v>
      </x:c>
      <x:c r="M732" s="2" t="str">
        <x:v>수호천사 행복 연금보험</x:v>
      </x:c>
      <x:c r="N732" s="2" t="str">
        <x:f>VLOOKUP(M732,'분류기준'!$A$5:$B$8,2,FALSE)</x:f>
        <x:v>연금보험</x:v>
      </x:c>
      <x:c r="O732" s="2" t="str">
        <x:v>특약 없음</x:v>
      </x:c>
      <x:c r="P732" s="2" t="str">
        <x:f>IF(O732="선택 안함","선택 안함",IF(O732="특약 없음","특약 없음","가입"))</x:f>
        <x:v>특약 없음</x:v>
      </x:c>
      <x:c r="Q732" s="2" t="str">
        <x:f>IF(P732="가입","가입","미가입")</x:f>
        <x:v>미가입</x:v>
      </x:c>
    </x:row>
    <x:row r="733" ht="23" customHeight="1">
      <x:c r="A733" s="2" t="str">
        <x:v>C0966</x:v>
      </x:c>
      <x:c r="B733" s="7" t="n">
        <x:v>52</x:v>
      </x:c>
      <x:c r="C733" s="2" t="str">
        <x:f>INT(B733/10)*10&amp;"대"</x:f>
        <x:v>50대</x:v>
      </x:c>
      <x:c r="D733" s="2" t="str">
        <x:v>여성</x:v>
      </x:c>
      <x:c r="E733" s="7" t="n">
        <x:v>6000</x:v>
      </x:c>
      <x:c r="F733" s="7" t="n">
        <x:v>1</x:v>
      </x:c>
      <x:c r="G733" s="2" t="str">
        <x:v>기혼</x:v>
      </x:c>
      <x:c r="H733" s="7" t="n">
        <x:v>2</x:v>
      </x:c>
      <x:c r="I733" s="2" t="str">
        <x:f>IF(H733&lt;3,H733&amp;"명","3명 이상")</x:f>
        <x:v>2명</x:v>
      </x:c>
      <x:c r="J733" s="2" t="str">
        <x:v>비흡연</x:v>
      </x:c>
      <x:c r="K733" s="2" t="str">
        <x:v>고혈압</x:v>
      </x:c>
      <x:c r="L733" s="2" t="str">
        <x:v>없음</x:v>
      </x:c>
      <x:c r="M733" s="2" t="str">
        <x:v>수호천사 행복 연금보험</x:v>
      </x:c>
      <x:c r="N733" s="2" t="str">
        <x:f>VLOOKUP(M733,'분류기준'!$A$5:$B$8,2,FALSE)</x:f>
        <x:v>연금보험</x:v>
      </x:c>
      <x:c r="O733" s="2" t="str">
        <x:v>특약 없음</x:v>
      </x:c>
      <x:c r="P733" s="2" t="str">
        <x:f>IF(O733="선택 안함","선택 안함",IF(O733="특약 없음","특약 없음","가입"))</x:f>
        <x:v>특약 없음</x:v>
      </x:c>
      <x:c r="Q733" s="2" t="str">
        <x:f>IF(P733="가입","가입","미가입")</x:f>
        <x:v>미가입</x:v>
      </x:c>
    </x:row>
    <x:row r="734" ht="23" customHeight="1">
      <x:c r="A734" s="2" t="str">
        <x:v>C0068</x:v>
      </x:c>
      <x:c r="B734" s="7" t="n">
        <x:v>53</x:v>
      </x:c>
      <x:c r="C734" s="2" t="str">
        <x:f>INT(B734/10)*10&amp;"대"</x:f>
        <x:v>50대</x:v>
      </x:c>
      <x:c r="D734" s="2" t="str">
        <x:v>여성</x:v>
      </x:c>
      <x:c r="E734" s="7" t="n">
        <x:v>3000</x:v>
      </x:c>
      <x:c r="F734" s="7" t="n">
        <x:v>3</x:v>
      </x:c>
      <x:c r="G734" s="2" t="str">
        <x:v>기혼</x:v>
      </x:c>
      <x:c r="H734" s="7" t="n">
        <x:v>2</x:v>
      </x:c>
      <x:c r="I734" s="2" t="str">
        <x:f>IF(H734&lt;3,H734&amp;"명","3명 이상")</x:f>
        <x:v>2명</x:v>
      </x:c>
      <x:c r="J734" s="2" t="str">
        <x:v>비흡연</x:v>
      </x:c>
      <x:c r="K734" s="2" t="str">
        <x:v>없음</x:v>
      </x:c>
      <x:c r="L734" s="2" t="str">
        <x:v>없음</x:v>
      </x:c>
      <x:c r="M734" s="2" t="str">
        <x:v>수호천사 행복 연금보험</x:v>
      </x:c>
      <x:c r="N734" s="2" t="str">
        <x:f>VLOOKUP(M734,'분류기준'!$A$5:$B$8,2,FALSE)</x:f>
        <x:v>연금보험</x:v>
      </x:c>
      <x:c r="O734" s="2" t="str">
        <x:v>특약 없음</x:v>
      </x:c>
      <x:c r="P734" s="2" t="str">
        <x:f>IF(O734="선택 안함","선택 안함",IF(O734="특약 없음","특약 없음","가입"))</x:f>
        <x:v>특약 없음</x:v>
      </x:c>
      <x:c r="Q734" s="2" t="str">
        <x:f>IF(P734="가입","가입","미가입")</x:f>
        <x:v>미가입</x:v>
      </x:c>
    </x:row>
    <x:row r="735" ht="23" customHeight="1">
      <x:c r="A735" s="2" t="str">
        <x:v>C0114</x:v>
      </x:c>
      <x:c r="B735" s="7" t="n">
        <x:v>53</x:v>
      </x:c>
      <x:c r="C735" s="2" t="str">
        <x:f>INT(B735/10)*10&amp;"대"</x:f>
        <x:v>50대</x:v>
      </x:c>
      <x:c r="D735" s="2" t="str">
        <x:v>남성</x:v>
      </x:c>
      <x:c r="E735" s="7" t="n">
        <x:v>3000</x:v>
      </x:c>
      <x:c r="F735" s="7" t="n">
        <x:v>1</x:v>
      </x:c>
      <x:c r="G735" s="2" t="str">
        <x:v>기혼</x:v>
      </x:c>
      <x:c r="H735" s="7" t="n">
        <x:v>1</x:v>
      </x:c>
      <x:c r="I735" s="2" t="str">
        <x:f>IF(H735&lt;3,H735&amp;"명","3명 이상")</x:f>
        <x:v>1명</x:v>
      </x:c>
      <x:c r="J735" s="2" t="str">
        <x:v>비흡연</x:v>
      </x:c>
      <x:c r="K735" s="2" t="str">
        <x:v>없음</x:v>
      </x:c>
      <x:c r="L735" s="2" t="str">
        <x:v>심혈관</x:v>
      </x:c>
      <x:c r="M735" s="2" t="str">
        <x:v>수호천사 간편심사(유병자)보험</x:v>
      </x:c>
      <x:c r="N735" s="2" t="str">
        <x:f>VLOOKUP(M735,'분류기준'!$A$5:$B$8,2,FALSE)</x:f>
        <x:v>간편심사보험</x:v>
      </x:c>
      <x:c r="O735" s="2" t="str">
        <x:v>중증질환 산정특례 보장 특약</x:v>
      </x:c>
      <x:c r="P735" s="2" t="str">
        <x:f>IF(O735="선택 안함","선택 안함",IF(O735="특약 없음","특약 없음","가입"))</x:f>
        <x:v>가입</x:v>
      </x:c>
      <x:c r="Q735" s="2" t="str">
        <x:f>IF(P735="가입","가입","미가입")</x:f>
        <x:v>가입</x:v>
      </x:c>
    </x:row>
    <x:row r="736" ht="23" customHeight="1">
      <x:c r="A736" s="2" t="str">
        <x:v>C0222</x:v>
      </x:c>
      <x:c r="B736" s="7" t="n">
        <x:v>53</x:v>
      </x:c>
      <x:c r="C736" s="2" t="str">
        <x:f>INT(B736/10)*10&amp;"대"</x:f>
        <x:v>50대</x:v>
      </x:c>
      <x:c r="D736" s="2" t="str">
        <x:v>남성</x:v>
      </x:c>
      <x:c r="E736" s="7" t="n">
        <x:v>7500</x:v>
      </x:c>
      <x:c r="F736" s="7" t="n">
        <x:v>1</x:v>
      </x:c>
      <x:c r="G736" s="2" t="str">
        <x:v>기혼</x:v>
      </x:c>
      <x:c r="H736" s="7" t="n">
        <x:v>1</x:v>
      </x:c>
      <x:c r="I736" s="2" t="str">
        <x:f>IF(H736&lt;3,H736&amp;"명","3명 이상")</x:f>
        <x:v>1명</x:v>
      </x:c>
      <x:c r="J736" s="2" t="str">
        <x:v>흡연</x:v>
      </x:c>
      <x:c r="K736" s="2" t="str">
        <x:v>고혈압</x:v>
      </x:c>
      <x:c r="L736" s="2" t="str">
        <x:v>심혈관</x:v>
      </x:c>
      <x:c r="M736" s="2" t="str">
        <x:v>수호천사 간편심사(유병자)보험</x:v>
      </x:c>
      <x:c r="N736" s="2" t="str">
        <x:f>VLOOKUP(M736,'분류기준'!$A$5:$B$8,2,FALSE)</x:f>
        <x:v>간편심사보험</x:v>
      </x:c>
      <x:c r="O736" s="2" t="str">
        <x:v>중증질환 산정특례 보장 특약</x:v>
      </x:c>
      <x:c r="P736" s="2" t="str">
        <x:f>IF(O736="선택 안함","선택 안함",IF(O736="특약 없음","특약 없음","가입"))</x:f>
        <x:v>가입</x:v>
      </x:c>
      <x:c r="Q736" s="2" t="str">
        <x:f>IF(P736="가입","가입","미가입")</x:f>
        <x:v>가입</x:v>
      </x:c>
    </x:row>
    <x:row r="737" ht="23" customHeight="1">
      <x:c r="A737" s="2" t="str">
        <x:v>C0317</x:v>
      </x:c>
      <x:c r="B737" s="7" t="n">
        <x:v>53</x:v>
      </x:c>
      <x:c r="C737" s="2" t="str">
        <x:f>INT(B737/10)*10&amp;"대"</x:f>
        <x:v>50대</x:v>
      </x:c>
      <x:c r="D737" s="2" t="str">
        <x:v>여성</x:v>
      </x:c>
      <x:c r="E737" s="7" t="n">
        <x:v>3000</x:v>
      </x:c>
      <x:c r="F737" s="7" t="n">
        <x:v>3</x:v>
      </x:c>
      <x:c r="G737" s="2" t="str">
        <x:v>기혼</x:v>
      </x:c>
      <x:c r="H737" s="7" t="n">
        <x:v>2</x:v>
      </x:c>
      <x:c r="I737" s="2" t="str">
        <x:f>IF(H737&lt;3,H737&amp;"명","3명 이상")</x:f>
        <x:v>2명</x:v>
      </x:c>
      <x:c r="J737" s="2" t="str">
        <x:v>흡연</x:v>
      </x:c>
      <x:c r="K737" s="2" t="str">
        <x:v>없음</x:v>
      </x:c>
      <x:c r="L737" s="2" t="str">
        <x:v>없음</x:v>
      </x:c>
      <x:c r="M737" s="2" t="str">
        <x:v>수호천사 암/건강보험</x:v>
      </x:c>
      <x:c r="N737" s="2" t="str">
        <x:f>VLOOKUP(M737,'분류기준'!$A$5:$B$8,2,FALSE)</x:f>
        <x:v>암/건강보험</x:v>
      </x:c>
      <x:c r="O737" s="2" t="str">
        <x:v>표적항암약물허가치료 특약</x:v>
      </x:c>
      <x:c r="P737" s="2" t="str">
        <x:f>IF(O737="선택 안함","선택 안함",IF(O737="특약 없음","특약 없음","가입"))</x:f>
        <x:v>가입</x:v>
      </x:c>
      <x:c r="Q737" s="2" t="str">
        <x:f>IF(P737="가입","가입","미가입")</x:f>
        <x:v>가입</x:v>
      </x:c>
    </x:row>
    <x:row r="738" ht="23" customHeight="1">
      <x:c r="A738" s="2" t="str">
        <x:v>C0390</x:v>
      </x:c>
      <x:c r="B738" s="7" t="n">
        <x:v>53</x:v>
      </x:c>
      <x:c r="C738" s="2" t="str">
        <x:f>INT(B738/10)*10&amp;"대"</x:f>
        <x:v>50대</x:v>
      </x:c>
      <x:c r="D738" s="2" t="str">
        <x:v>여성</x:v>
      </x:c>
      <x:c r="E738" s="7" t="n">
        <x:v>4000</x:v>
      </x:c>
      <x:c r="F738" s="7" t="n">
        <x:v>1</x:v>
      </x:c>
      <x:c r="G738" s="2" t="str">
        <x:v>기혼</x:v>
      </x:c>
      <x:c r="H738" s="7" t="n">
        <x:v>1</x:v>
      </x:c>
      <x:c r="I738" s="2" t="str">
        <x:f>IF(H738&lt;3,H738&amp;"명","3명 이상")</x:f>
        <x:v>1명</x:v>
      </x:c>
      <x:c r="J738" s="2" t="str">
        <x:v>비흡연</x:v>
      </x:c>
      <x:c r="K738" s="2" t="str">
        <x:v>고혈압</x:v>
      </x:c>
      <x:c r="L738" s="2" t="str">
        <x:v>없음</x:v>
      </x:c>
      <x:c r="M738" s="2" t="str">
        <x:v>수호천사 간편심사(유병자)보험</x:v>
      </x:c>
      <x:c r="N738" s="2" t="str">
        <x:f>VLOOKUP(M738,'분류기준'!$A$5:$B$8,2,FALSE)</x:f>
        <x:v>간편심사보험</x:v>
      </x:c>
      <x:c r="O738" s="2" t="str">
        <x:v>중증질환 산정특례 보장 특약</x:v>
      </x:c>
      <x:c r="P738" s="2" t="str">
        <x:f>IF(O738="선택 안함","선택 안함",IF(O738="특약 없음","특약 없음","가입"))</x:f>
        <x:v>가입</x:v>
      </x:c>
      <x:c r="Q738" s="2" t="str">
        <x:f>IF(P738="가입","가입","미가입")</x:f>
        <x:v>가입</x:v>
      </x:c>
    </x:row>
    <x:row r="739" ht="23" customHeight="1">
      <x:c r="A739" s="2" t="str">
        <x:v>C0432</x:v>
      </x:c>
      <x:c r="B739" s="7" t="n">
        <x:v>53</x:v>
      </x:c>
      <x:c r="C739" s="2" t="str">
        <x:f>INT(B739/10)*10&amp;"대"</x:f>
        <x:v>50대</x:v>
      </x:c>
      <x:c r="D739" s="2" t="str">
        <x:v>여성</x:v>
      </x:c>
      <x:c r="E739" s="7" t="n">
        <x:v>6000</x:v>
      </x:c>
      <x:c r="F739" s="7" t="n">
        <x:v>1</x:v>
      </x:c>
      <x:c r="G739" s="2" t="str">
        <x:v>기혼</x:v>
      </x:c>
      <x:c r="H739" s="7" t="n">
        <x:v>2</x:v>
      </x:c>
      <x:c r="I739" s="2" t="str">
        <x:f>IF(H739&lt;3,H739&amp;"명","3명 이상")</x:f>
        <x:v>2명</x:v>
      </x:c>
      <x:c r="J739" s="2" t="str">
        <x:v>흡연</x:v>
      </x:c>
      <x:c r="K739" s="2" t="str">
        <x:v>고혈압</x:v>
      </x:c>
      <x:c r="L739" s="2" t="str">
        <x:v>심혈관</x:v>
      </x:c>
      <x:c r="M739" s="2" t="str">
        <x:v>수호천사 암/건강보험</x:v>
      </x:c>
      <x:c r="N739" s="2" t="str">
        <x:f>VLOOKUP(M739,'분류기준'!$A$5:$B$8,2,FALSE)</x:f>
        <x:v>암/건강보험</x:v>
      </x:c>
      <x:c r="O739" s="2" t="str">
        <x:v>표적항암약물허가치료 특약</x:v>
      </x:c>
      <x:c r="P739" s="2" t="str">
        <x:f>IF(O739="선택 안함","선택 안함",IF(O739="특약 없음","특약 없음","가입"))</x:f>
        <x:v>가입</x:v>
      </x:c>
      <x:c r="Q739" s="2" t="str">
        <x:f>IF(P739="가입","가입","미가입")</x:f>
        <x:v>가입</x:v>
      </x:c>
    </x:row>
    <x:row r="740" ht="23" customHeight="1">
      <x:c r="A740" s="2" t="str">
        <x:v>C0470</x:v>
      </x:c>
      <x:c r="B740" s="7" t="n">
        <x:v>53</x:v>
      </x:c>
      <x:c r="C740" s="2" t="str">
        <x:f>INT(B740/10)*10&amp;"대"</x:f>
        <x:v>50대</x:v>
      </x:c>
      <x:c r="D740" s="2" t="str">
        <x:v>남성</x:v>
      </x:c>
      <x:c r="E740" s="7" t="n">
        <x:v>3000</x:v>
      </x:c>
      <x:c r="F740" s="7" t="n">
        <x:v>2</x:v>
      </x:c>
      <x:c r="G740" s="2" t="str">
        <x:v>기혼</x:v>
      </x:c>
      <x:c r="H740" s="7" t="n">
        <x:v>1</x:v>
      </x:c>
      <x:c r="I740" s="2" t="str">
        <x:f>IF(H740&lt;3,H740&amp;"명","3명 이상")</x:f>
        <x:v>1명</x:v>
      </x:c>
      <x:c r="J740" s="2" t="str">
        <x:v>비흡연</x:v>
      </x:c>
      <x:c r="K740" s="2" t="str">
        <x:v>없음</x:v>
      </x:c>
      <x:c r="L740" s="2" t="str">
        <x:v>없음</x:v>
      </x:c>
      <x:c r="M740" s="2" t="str">
        <x:v>수호천사 우리가족 종신보험</x:v>
      </x:c>
      <x:c r="N740" s="2" t="str">
        <x:f>VLOOKUP(M740,'분류기준'!$A$5:$B$8,2,FALSE)</x:f>
        <x:v>종신보험</x:v>
      </x:c>
      <x:c r="O740" s="2" t="str">
        <x:v>가족 수입 보장 특약</x:v>
      </x:c>
      <x:c r="P740" s="2" t="str">
        <x:f>IF(O740="선택 안함","선택 안함",IF(O740="특약 없음","특약 없음","가입"))</x:f>
        <x:v>가입</x:v>
      </x:c>
      <x:c r="Q740" s="2" t="str">
        <x:f>IF(P740="가입","가입","미가입")</x:f>
        <x:v>가입</x:v>
      </x:c>
    </x:row>
    <x:row r="741" ht="23" customHeight="1">
      <x:c r="A741" s="2" t="str">
        <x:v>C0517</x:v>
      </x:c>
      <x:c r="B741" s="7" t="n">
        <x:v>53</x:v>
      </x:c>
      <x:c r="C741" s="2" t="str">
        <x:f>INT(B741/10)*10&amp;"대"</x:f>
        <x:v>50대</x:v>
      </x:c>
      <x:c r="D741" s="2" t="str">
        <x:v>남성</x:v>
      </x:c>
      <x:c r="E741" s="7" t="n">
        <x:v>7500</x:v>
      </x:c>
      <x:c r="F741" s="7" t="n">
        <x:v>1</x:v>
      </x:c>
      <x:c r="G741" s="2" t="str">
        <x:v>기혼</x:v>
      </x:c>
      <x:c r="H741" s="7" t="n">
        <x:v>2</x:v>
      </x:c>
      <x:c r="I741" s="2" t="str">
        <x:f>IF(H741&lt;3,H741&amp;"명","3명 이상")</x:f>
        <x:v>2명</x:v>
      </x:c>
      <x:c r="J741" s="2" t="str">
        <x:v>비흡연</x:v>
      </x:c>
      <x:c r="K741" s="2" t="str">
        <x:v>고혈압</x:v>
      </x:c>
      <x:c r="L741" s="2" t="str">
        <x:v>암</x:v>
      </x:c>
      <x:c r="M741" s="2" t="str">
        <x:v>수호천사 간편심사(유병자)보험</x:v>
      </x:c>
      <x:c r="N741" s="2" t="str">
        <x:f>VLOOKUP(M741,'분류기준'!$A$5:$B$8,2,FALSE)</x:f>
        <x:v>간편심사보험</x:v>
      </x:c>
      <x:c r="O741" s="2" t="str">
        <x:v>선택 안함</x:v>
      </x:c>
      <x:c r="P741" s="2" t="str">
        <x:f>IF(O741="선택 안함","선택 안함",IF(O741="특약 없음","특약 없음","가입"))</x:f>
        <x:v>선택 안함</x:v>
      </x:c>
      <x:c r="Q741" s="2" t="str">
        <x:f>IF(P741="가입","가입","미가입")</x:f>
        <x:v>미가입</x:v>
      </x:c>
    </x:row>
    <x:row r="742" ht="23" customHeight="1">
      <x:c r="A742" s="2" t="str">
        <x:v>C0718</x:v>
      </x:c>
      <x:c r="B742" s="7" t="n">
        <x:v>53</x:v>
      </x:c>
      <x:c r="C742" s="2" t="str">
        <x:f>INT(B742/10)*10&amp;"대"</x:f>
        <x:v>50대</x:v>
      </x:c>
      <x:c r="D742" s="2" t="str">
        <x:v>남성</x:v>
      </x:c>
      <x:c r="E742" s="7" t="n">
        <x:v>5000</x:v>
      </x:c>
      <x:c r="F742" s="7" t="n">
        <x:v>1</x:v>
      </x:c>
      <x:c r="G742" s="2" t="str">
        <x:v>기혼</x:v>
      </x:c>
      <x:c r="H742" s="7" t="n">
        <x:v>2</x:v>
      </x:c>
      <x:c r="I742" s="2" t="str">
        <x:f>IF(H742&lt;3,H742&amp;"명","3명 이상")</x:f>
        <x:v>2명</x:v>
      </x:c>
      <x:c r="J742" s="2" t="str">
        <x:v>비흡연</x:v>
      </x:c>
      <x:c r="K742" s="2" t="str">
        <x:v>당뇨</x:v>
      </x:c>
      <x:c r="L742" s="2" t="str">
        <x:v>없음</x:v>
      </x:c>
      <x:c r="M742" s="2" t="str">
        <x:v>수호천사 행복 연금보험</x:v>
      </x:c>
      <x:c r="N742" s="2" t="str">
        <x:f>VLOOKUP(M742,'분류기준'!$A$5:$B$8,2,FALSE)</x:f>
        <x:v>연금보험</x:v>
      </x:c>
      <x:c r="O742" s="2" t="str">
        <x:v>특약 없음</x:v>
      </x:c>
      <x:c r="P742" s="2" t="str">
        <x:f>IF(O742="선택 안함","선택 안함",IF(O742="특약 없음","특약 없음","가입"))</x:f>
        <x:v>특약 없음</x:v>
      </x:c>
      <x:c r="Q742" s="2" t="str">
        <x:f>IF(P742="가입","가입","미가입")</x:f>
        <x:v>미가입</x:v>
      </x:c>
    </x:row>
    <x:row r="743" ht="23" customHeight="1">
      <x:c r="A743" s="2" t="str">
        <x:v>C0749</x:v>
      </x:c>
      <x:c r="B743" s="7" t="n">
        <x:v>53</x:v>
      </x:c>
      <x:c r="C743" s="2" t="str">
        <x:f>INT(B743/10)*10&amp;"대"</x:f>
        <x:v>50대</x:v>
      </x:c>
      <x:c r="D743" s="2" t="str">
        <x:v>남성</x:v>
      </x:c>
      <x:c r="E743" s="7" t="n">
        <x:v>5000</x:v>
      </x:c>
      <x:c r="F743" s="7" t="n">
        <x:v>1</x:v>
      </x:c>
      <x:c r="G743" s="2" t="str">
        <x:v>기혼</x:v>
      </x:c>
      <x:c r="H743" s="7" t="n">
        <x:v>1</x:v>
      </x:c>
      <x:c r="I743" s="2" t="str">
        <x:f>IF(H743&lt;3,H743&amp;"명","3명 이상")</x:f>
        <x:v>1명</x:v>
      </x:c>
      <x:c r="J743" s="2" t="str">
        <x:v>비흡연</x:v>
      </x:c>
      <x:c r="K743" s="2" t="str">
        <x:v>없음</x:v>
      </x:c>
      <x:c r="L743" s="2" t="str">
        <x:v>없음</x:v>
      </x:c>
      <x:c r="M743" s="2" t="str">
        <x:v>수호천사 암/건강보험</x:v>
      </x:c>
      <x:c r="N743" s="2" t="str">
        <x:f>VLOOKUP(M743,'분류기준'!$A$5:$B$8,2,FALSE)</x:f>
        <x:v>암/건강보험</x:v>
      </x:c>
      <x:c r="O743" s="2" t="str">
        <x:v>수술비 보장 특약</x:v>
      </x:c>
      <x:c r="P743" s="2" t="str">
        <x:f>IF(O743="선택 안함","선택 안함",IF(O743="특약 없음","특약 없음","가입"))</x:f>
        <x:v>가입</x:v>
      </x:c>
      <x:c r="Q743" s="2" t="str">
        <x:f>IF(P743="가입","가입","미가입")</x:f>
        <x:v>가입</x:v>
      </x:c>
    </x:row>
    <x:row r="744" ht="23" customHeight="1">
      <x:c r="A744" s="2" t="str">
        <x:v>C0755</x:v>
      </x:c>
      <x:c r="B744" s="7" t="n">
        <x:v>53</x:v>
      </x:c>
      <x:c r="C744" s="2" t="str">
        <x:f>INT(B744/10)*10&amp;"대"</x:f>
        <x:v>50대</x:v>
      </x:c>
      <x:c r="D744" s="2" t="str">
        <x:v>여성</x:v>
      </x:c>
      <x:c r="E744" s="7" t="n">
        <x:v>5000</x:v>
      </x:c>
      <x:c r="F744" s="7" t="n">
        <x:v>1</x:v>
      </x:c>
      <x:c r="G744" s="2" t="str">
        <x:v>기혼</x:v>
      </x:c>
      <x:c r="H744" s="7" t="n">
        <x:v>2</x:v>
      </x:c>
      <x:c r="I744" s="2" t="str">
        <x:f>IF(H744&lt;3,H744&amp;"명","3명 이상")</x:f>
        <x:v>2명</x:v>
      </x:c>
      <x:c r="J744" s="2" t="str">
        <x:v>비흡연</x:v>
      </x:c>
      <x:c r="K744" s="2" t="str">
        <x:v>없음</x:v>
      </x:c>
      <x:c r="L744" s="2" t="str">
        <x:v>암</x:v>
      </x:c>
      <x:c r="M744" s="2" t="str">
        <x:v>수호천사 행복 연금보험</x:v>
      </x:c>
      <x:c r="N744" s="2" t="str">
        <x:f>VLOOKUP(M744,'분류기준'!$A$5:$B$8,2,FALSE)</x:f>
        <x:v>연금보험</x:v>
      </x:c>
      <x:c r="O744" s="2" t="str">
        <x:v>특약 없음</x:v>
      </x:c>
      <x:c r="P744" s="2" t="str">
        <x:f>IF(O744="선택 안함","선택 안함",IF(O744="특약 없음","특약 없음","가입"))</x:f>
        <x:v>특약 없음</x:v>
      </x:c>
      <x:c r="Q744" s="2" t="str">
        <x:f>IF(P744="가입","가입","미가입")</x:f>
        <x:v>미가입</x:v>
      </x:c>
    </x:row>
    <x:row r="745" ht="23" customHeight="1">
      <x:c r="A745" s="2" t="str">
        <x:v>C0773</x:v>
      </x:c>
      <x:c r="B745" s="7" t="n">
        <x:v>53</x:v>
      </x:c>
      <x:c r="C745" s="2" t="str">
        <x:f>INT(B745/10)*10&amp;"대"</x:f>
        <x:v>50대</x:v>
      </x:c>
      <x:c r="D745" s="2" t="str">
        <x:v>여성</x:v>
      </x:c>
      <x:c r="E745" s="7" t="n">
        <x:v>4000</x:v>
      </x:c>
      <x:c r="F745" s="7" t="n">
        <x:v>1</x:v>
      </x:c>
      <x:c r="G745" s="2" t="str">
        <x:v>기혼</x:v>
      </x:c>
      <x:c r="H745" s="7" t="n">
        <x:v>2</x:v>
      </x:c>
      <x:c r="I745" s="2" t="str">
        <x:f>IF(H745&lt;3,H745&amp;"명","3명 이상")</x:f>
        <x:v>2명</x:v>
      </x:c>
      <x:c r="J745" s="2" t="str">
        <x:v>비흡연</x:v>
      </x:c>
      <x:c r="K745" s="2" t="str">
        <x:v>고혈압</x:v>
      </x:c>
      <x:c r="L745" s="2" t="str">
        <x:v>없음</x:v>
      </x:c>
      <x:c r="M745" s="2" t="str">
        <x:v>수호천사 간편심사(유병자)보험</x:v>
      </x:c>
      <x:c r="N745" s="2" t="str">
        <x:f>VLOOKUP(M745,'분류기준'!$A$5:$B$8,2,FALSE)</x:f>
        <x:v>간편심사보험</x:v>
      </x:c>
      <x:c r="O745" s="2" t="str">
        <x:v>중증질환 산정특례 보장 특약</x:v>
      </x:c>
      <x:c r="P745" s="2" t="str">
        <x:f>IF(O745="선택 안함","선택 안함",IF(O745="특약 없음","특약 없음","가입"))</x:f>
        <x:v>가입</x:v>
      </x:c>
      <x:c r="Q745" s="2" t="str">
        <x:f>IF(P745="가입","가입","미가입")</x:f>
        <x:v>가입</x:v>
      </x:c>
    </x:row>
    <x:row r="746" ht="23" customHeight="1">
      <x:c r="A746" s="2" t="str">
        <x:v>C0775</x:v>
      </x:c>
      <x:c r="B746" s="7" t="n">
        <x:v>53</x:v>
      </x:c>
      <x:c r="C746" s="2" t="str">
        <x:f>INT(B746/10)*10&amp;"대"</x:f>
        <x:v>50대</x:v>
      </x:c>
      <x:c r="D746" s="2" t="str">
        <x:v>여성</x:v>
      </x:c>
      <x:c r="E746" s="7" t="n">
        <x:v>7500</x:v>
      </x:c>
      <x:c r="F746" s="7" t="n">
        <x:v>1</x:v>
      </x:c>
      <x:c r="G746" s="2" t="str">
        <x:v>기혼</x:v>
      </x:c>
      <x:c r="H746" s="7" t="n">
        <x:v>2</x:v>
      </x:c>
      <x:c r="I746" s="2" t="str">
        <x:f>IF(H746&lt;3,H746&amp;"명","3명 이상")</x:f>
        <x:v>2명</x:v>
      </x:c>
      <x:c r="J746" s="2" t="str">
        <x:v>흡연</x:v>
      </x:c>
      <x:c r="K746" s="2" t="str">
        <x:v>없음</x:v>
      </x:c>
      <x:c r="L746" s="2" t="str">
        <x:v>없음</x:v>
      </x:c>
      <x:c r="M746" s="2" t="str">
        <x:v>수호천사 행복 연금보험</x:v>
      </x:c>
      <x:c r="N746" s="2" t="str">
        <x:f>VLOOKUP(M746,'분류기준'!$A$5:$B$8,2,FALSE)</x:f>
        <x:v>연금보험</x:v>
      </x:c>
      <x:c r="O746" s="2" t="str">
        <x:v>특약 없음</x:v>
      </x:c>
      <x:c r="P746" s="2" t="str">
        <x:f>IF(O746="선택 안함","선택 안함",IF(O746="특약 없음","특약 없음","가입"))</x:f>
        <x:v>특약 없음</x:v>
      </x:c>
      <x:c r="Q746" s="2" t="str">
        <x:f>IF(P746="가입","가입","미가입")</x:f>
        <x:v>미가입</x:v>
      </x:c>
    </x:row>
    <x:row r="747" ht="23" customHeight="1">
      <x:c r="A747" s="2" t="str">
        <x:v>C0780</x:v>
      </x:c>
      <x:c r="B747" s="7" t="n">
        <x:v>53</x:v>
      </x:c>
      <x:c r="C747" s="2" t="str">
        <x:f>INT(B747/10)*10&amp;"대"</x:f>
        <x:v>50대</x:v>
      </x:c>
      <x:c r="D747" s="2" t="str">
        <x:v>여성</x:v>
      </x:c>
      <x:c r="E747" s="7" t="n">
        <x:v>7500</x:v>
      </x:c>
      <x:c r="F747" s="7" t="n">
        <x:v>1</x:v>
      </x:c>
      <x:c r="G747" s="2" t="str">
        <x:v>기혼</x:v>
      </x:c>
      <x:c r="H747" s="7" t="n">
        <x:v>2</x:v>
      </x:c>
      <x:c r="I747" s="2" t="str">
        <x:f>IF(H747&lt;3,H747&amp;"명","3명 이상")</x:f>
        <x:v>2명</x:v>
      </x:c>
      <x:c r="J747" s="2" t="str">
        <x:v>비흡연</x:v>
      </x:c>
      <x:c r="K747" s="2" t="str">
        <x:v>없음</x:v>
      </x:c>
      <x:c r="L747" s="2" t="str">
        <x:v>암</x:v>
      </x:c>
      <x:c r="M747" s="2" t="str">
        <x:v>수호천사 암/건강보험</x:v>
      </x:c>
      <x:c r="N747" s="2" t="str">
        <x:f>VLOOKUP(M747,'분류기준'!$A$5:$B$8,2,FALSE)</x:f>
        <x:v>암/건강보험</x:v>
      </x:c>
      <x:c r="O747" s="2" t="str">
        <x:v>표적항암약물허가치료 특약</x:v>
      </x:c>
      <x:c r="P747" s="2" t="str">
        <x:f>IF(O747="선택 안함","선택 안함",IF(O747="특약 없음","특약 없음","가입"))</x:f>
        <x:v>가입</x:v>
      </x:c>
      <x:c r="Q747" s="2" t="str">
        <x:f>IF(P747="가입","가입","미가입")</x:f>
        <x:v>가입</x:v>
      </x:c>
    </x:row>
    <x:row r="748" ht="23" customHeight="1">
      <x:c r="A748" s="2" t="str">
        <x:v>C0798</x:v>
      </x:c>
      <x:c r="B748" s="7" t="n">
        <x:v>53</x:v>
      </x:c>
      <x:c r="C748" s="2" t="str">
        <x:f>INT(B748/10)*10&amp;"대"</x:f>
        <x:v>50대</x:v>
      </x:c>
      <x:c r="D748" s="2" t="str">
        <x:v>남성</x:v>
      </x:c>
      <x:c r="E748" s="7" t="n">
        <x:v>5000</x:v>
      </x:c>
      <x:c r="F748" s="7" t="n">
        <x:v>1</x:v>
      </x:c>
      <x:c r="G748" s="2" t="str">
        <x:v>기혼</x:v>
      </x:c>
      <x:c r="H748" s="7" t="n">
        <x:v>2</x:v>
      </x:c>
      <x:c r="I748" s="2" t="str">
        <x:f>IF(H748&lt;3,H748&amp;"명","3명 이상")</x:f>
        <x:v>2명</x:v>
      </x:c>
      <x:c r="J748" s="2" t="str">
        <x:v>비흡연</x:v>
      </x:c>
      <x:c r="K748" s="2" t="str">
        <x:v>없음</x:v>
      </x:c>
      <x:c r="L748" s="2" t="str">
        <x:v>없음</x:v>
      </x:c>
      <x:c r="M748" s="2" t="str">
        <x:v>수호천사 행복 연금보험</x:v>
      </x:c>
      <x:c r="N748" s="2" t="str">
        <x:f>VLOOKUP(M748,'분류기준'!$A$5:$B$8,2,FALSE)</x:f>
        <x:v>연금보험</x:v>
      </x:c>
      <x:c r="O748" s="2" t="str">
        <x:v>특약 없음</x:v>
      </x:c>
      <x:c r="P748" s="2" t="str">
        <x:f>IF(O748="선택 안함","선택 안함",IF(O748="특약 없음","특약 없음","가입"))</x:f>
        <x:v>특약 없음</x:v>
      </x:c>
      <x:c r="Q748" s="2" t="str">
        <x:f>IF(P748="가입","가입","미가입")</x:f>
        <x:v>미가입</x:v>
      </x:c>
    </x:row>
    <x:row r="749" ht="23" customHeight="1">
      <x:c r="A749" s="2" t="str">
        <x:v>C0836</x:v>
      </x:c>
      <x:c r="B749" s="7" t="n">
        <x:v>53</x:v>
      </x:c>
      <x:c r="C749" s="2" t="str">
        <x:f>INT(B749/10)*10&amp;"대"</x:f>
        <x:v>50대</x:v>
      </x:c>
      <x:c r="D749" s="2" t="str">
        <x:v>여성</x:v>
      </x:c>
      <x:c r="E749" s="7" t="n">
        <x:v>3000</x:v>
      </x:c>
      <x:c r="F749" s="7" t="n">
        <x:v>1</x:v>
      </x:c>
      <x:c r="G749" s="2" t="str">
        <x:v>기혼</x:v>
      </x:c>
      <x:c r="H749" s="7" t="n">
        <x:v>1</x:v>
      </x:c>
      <x:c r="I749" s="2" t="str">
        <x:f>IF(H749&lt;3,H749&amp;"명","3명 이상")</x:f>
        <x:v>1명</x:v>
      </x:c>
      <x:c r="J749" s="2" t="str">
        <x:v>비흡연</x:v>
      </x:c>
      <x:c r="K749" s="2" t="str">
        <x:v>없음</x:v>
      </x:c>
      <x:c r="L749" s="2" t="str">
        <x:v>없음</x:v>
      </x:c>
      <x:c r="M749" s="2" t="str">
        <x:v>수호천사 암/건강보험</x:v>
      </x:c>
      <x:c r="N749" s="2" t="str">
        <x:f>VLOOKUP(M749,'분류기준'!$A$5:$B$8,2,FALSE)</x:f>
        <x:v>암/건강보험</x:v>
      </x:c>
      <x:c r="O749" s="2" t="str">
        <x:v>표적항암약물허가치료 특약</x:v>
      </x:c>
      <x:c r="P749" s="2" t="str">
        <x:f>IF(O749="선택 안함","선택 안함",IF(O749="특약 없음","특약 없음","가입"))</x:f>
        <x:v>가입</x:v>
      </x:c>
      <x:c r="Q749" s="2" t="str">
        <x:f>IF(P749="가입","가입","미가입")</x:f>
        <x:v>가입</x:v>
      </x:c>
    </x:row>
    <x:row r="750" ht="23" customHeight="1">
      <x:c r="A750" s="2" t="str">
        <x:v>C0897</x:v>
      </x:c>
      <x:c r="B750" s="7" t="n">
        <x:v>53</x:v>
      </x:c>
      <x:c r="C750" s="2" t="str">
        <x:f>INT(B750/10)*10&amp;"대"</x:f>
        <x:v>50대</x:v>
      </x:c>
      <x:c r="D750" s="2" t="str">
        <x:v>남성</x:v>
      </x:c>
      <x:c r="E750" s="7" t="n">
        <x:v>5000</x:v>
      </x:c>
      <x:c r="F750" s="7" t="n">
        <x:v>3</x:v>
      </x:c>
      <x:c r="G750" s="2" t="str">
        <x:v>기혼</x:v>
      </x:c>
      <x:c r="H750" s="7" t="n">
        <x:v>1</x:v>
      </x:c>
      <x:c r="I750" s="2" t="str">
        <x:f>IF(H750&lt;3,H750&amp;"명","3명 이상")</x:f>
        <x:v>1명</x:v>
      </x:c>
      <x:c r="J750" s="2" t="str">
        <x:v>비흡연</x:v>
      </x:c>
      <x:c r="K750" s="2" t="str">
        <x:v>고혈압</x:v>
      </x:c>
      <x:c r="L750" s="2" t="str">
        <x:v>심혈관</x:v>
      </x:c>
      <x:c r="M750" s="2" t="str">
        <x:v>수호천사 암/건강보험</x:v>
      </x:c>
      <x:c r="N750" s="2" t="str">
        <x:f>VLOOKUP(M750,'분류기준'!$A$5:$B$8,2,FALSE)</x:f>
        <x:v>암/건강보험</x:v>
      </x:c>
      <x:c r="O750" s="2" t="str">
        <x:v>표적항암약물허가치료 특약</x:v>
      </x:c>
      <x:c r="P750" s="2" t="str">
        <x:f>IF(O750="선택 안함","선택 안함",IF(O750="특약 없음","특약 없음","가입"))</x:f>
        <x:v>가입</x:v>
      </x:c>
      <x:c r="Q750" s="2" t="str">
        <x:f>IF(P750="가입","가입","미가입")</x:f>
        <x:v>가입</x:v>
      </x:c>
    </x:row>
    <x:row r="751" ht="23" customHeight="1">
      <x:c r="A751" s="2" t="str">
        <x:v>C0907</x:v>
      </x:c>
      <x:c r="B751" s="7" t="n">
        <x:v>53</x:v>
      </x:c>
      <x:c r="C751" s="2" t="str">
        <x:f>INT(B751/10)*10&amp;"대"</x:f>
        <x:v>50대</x:v>
      </x:c>
      <x:c r="D751" s="2" t="str">
        <x:v>여성</x:v>
      </x:c>
      <x:c r="E751" s="7" t="n">
        <x:v>9000</x:v>
      </x:c>
      <x:c r="F751" s="7" t="n">
        <x:v>1</x:v>
      </x:c>
      <x:c r="G751" s="2" t="str">
        <x:v>기혼</x:v>
      </x:c>
      <x:c r="H751" s="7" t="n">
        <x:v>2</x:v>
      </x:c>
      <x:c r="I751" s="2" t="str">
        <x:f>IF(H751&lt;3,H751&amp;"명","3명 이상")</x:f>
        <x:v>2명</x:v>
      </x:c>
      <x:c r="J751" s="2" t="str">
        <x:v>비흡연</x:v>
      </x:c>
      <x:c r="K751" s="2" t="str">
        <x:v>없음</x:v>
      </x:c>
      <x:c r="L751" s="2" t="str">
        <x:v>없음</x:v>
      </x:c>
      <x:c r="M751" s="2" t="str">
        <x:v>수호천사 간편심사(유병자)보험</x:v>
      </x:c>
      <x:c r="N751" s="2" t="str">
        <x:f>VLOOKUP(M751,'분류기준'!$A$5:$B$8,2,FALSE)</x:f>
        <x:v>간편심사보험</x:v>
      </x:c>
      <x:c r="O751" s="2" t="str">
        <x:v>중증질환 산정특례 보장 특약</x:v>
      </x:c>
      <x:c r="P751" s="2" t="str">
        <x:f>IF(O751="선택 안함","선택 안함",IF(O751="특약 없음","특약 없음","가입"))</x:f>
        <x:v>가입</x:v>
      </x:c>
      <x:c r="Q751" s="2" t="str">
        <x:f>IF(P751="가입","가입","미가입")</x:f>
        <x:v>가입</x:v>
      </x:c>
    </x:row>
    <x:row r="752" ht="23" customHeight="1">
      <x:c r="A752" s="2" t="str">
        <x:v>C0995</x:v>
      </x:c>
      <x:c r="B752" s="7" t="n">
        <x:v>53</x:v>
      </x:c>
      <x:c r="C752" s="2" t="str">
        <x:f>INT(B752/10)*10&amp;"대"</x:f>
        <x:v>50대</x:v>
      </x:c>
      <x:c r="D752" s="2" t="str">
        <x:v>남성</x:v>
      </x:c>
      <x:c r="E752" s="7" t="n">
        <x:v>7500</x:v>
      </x:c>
      <x:c r="F752" s="7" t="n">
        <x:v>1</x:v>
      </x:c>
      <x:c r="G752" s="2" t="str">
        <x:v>기혼</x:v>
      </x:c>
      <x:c r="H752" s="7" t="n">
        <x:v>2</x:v>
      </x:c>
      <x:c r="I752" s="2" t="str">
        <x:f>IF(H752&lt;3,H752&amp;"명","3명 이상")</x:f>
        <x:v>2명</x:v>
      </x:c>
      <x:c r="J752" s="2" t="str">
        <x:v>비흡연</x:v>
      </x:c>
      <x:c r="K752" s="2" t="str">
        <x:v>없음</x:v>
      </x:c>
      <x:c r="L752" s="2" t="str">
        <x:v>없음</x:v>
      </x:c>
      <x:c r="M752" s="2" t="str">
        <x:v>수호천사 행복 연금보험</x:v>
      </x:c>
      <x:c r="N752" s="2" t="str">
        <x:f>VLOOKUP(M752,'분류기준'!$A$5:$B$8,2,FALSE)</x:f>
        <x:v>연금보험</x:v>
      </x:c>
      <x:c r="O752" s="2" t="str">
        <x:v>특약 없음</x:v>
      </x:c>
      <x:c r="P752" s="2" t="str">
        <x:f>IF(O752="선택 안함","선택 안함",IF(O752="특약 없음","특약 없음","가입"))</x:f>
        <x:v>특약 없음</x:v>
      </x:c>
      <x:c r="Q752" s="2" t="str">
        <x:f>IF(P752="가입","가입","미가입")</x:f>
        <x:v>미가입</x:v>
      </x:c>
    </x:row>
    <x:row r="753" ht="23" customHeight="1">
      <x:c r="A753" s="2" t="str">
        <x:v>C0054</x:v>
      </x:c>
      <x:c r="B753" s="7" t="n">
        <x:v>54</x:v>
      </x:c>
      <x:c r="C753" s="2" t="str">
        <x:f>INT(B753/10)*10&amp;"대"</x:f>
        <x:v>50대</x:v>
      </x:c>
      <x:c r="D753" s="2" t="str">
        <x:v>남성</x:v>
      </x:c>
      <x:c r="E753" s="7" t="n">
        <x:v>7500</x:v>
      </x:c>
      <x:c r="F753" s="7" t="n">
        <x:v>1</x:v>
      </x:c>
      <x:c r="G753" s="2" t="str">
        <x:v>미혼</x:v>
      </x:c>
      <x:c r="H753" s="7" t="n">
        <x:v>0</x:v>
      </x:c>
      <x:c r="I753" s="2" t="str">
        <x:f>IF(H753&lt;3,H753&amp;"명","3명 이상")</x:f>
        <x:v>0명</x:v>
      </x:c>
      <x:c r="J753" s="2" t="str">
        <x:v>비흡연</x:v>
      </x:c>
      <x:c r="K753" s="2" t="str">
        <x:v>당뇨</x:v>
      </x:c>
      <x:c r="L753" s="2" t="str">
        <x:v>암</x:v>
      </x:c>
      <x:c r="M753" s="2" t="str">
        <x:v>수호천사 간편심사(유병자)보험</x:v>
      </x:c>
      <x:c r="N753" s="2" t="str">
        <x:f>VLOOKUP(M753,'분류기준'!$A$5:$B$8,2,FALSE)</x:f>
        <x:v>간편심사보험</x:v>
      </x:c>
      <x:c r="O753" s="2" t="str">
        <x:v>중증질환 산정특례 보장 특약</x:v>
      </x:c>
      <x:c r="P753" s="2" t="str">
        <x:f>IF(O753="선택 안함","선택 안함",IF(O753="특약 없음","특약 없음","가입"))</x:f>
        <x:v>가입</x:v>
      </x:c>
      <x:c r="Q753" s="2" t="str">
        <x:f>IF(P753="가입","가입","미가입")</x:f>
        <x:v>가입</x:v>
      </x:c>
    </x:row>
    <x:row r="754" ht="23" customHeight="1">
      <x:c r="A754" s="2" t="str">
        <x:v>C0102</x:v>
      </x:c>
      <x:c r="B754" s="7" t="n">
        <x:v>54</x:v>
      </x:c>
      <x:c r="C754" s="2" t="str">
        <x:f>INT(B754/10)*10&amp;"대"</x:f>
        <x:v>50대</x:v>
      </x:c>
      <x:c r="D754" s="2" t="str">
        <x:v>여성</x:v>
      </x:c>
      <x:c r="E754" s="7" t="n">
        <x:v>9000</x:v>
      </x:c>
      <x:c r="F754" s="7" t="n">
        <x:v>1</x:v>
      </x:c>
      <x:c r="G754" s="2" t="str">
        <x:v>기혼</x:v>
      </x:c>
      <x:c r="H754" s="7" t="n">
        <x:v>0</x:v>
      </x:c>
      <x:c r="I754" s="2" t="str">
        <x:f>IF(H754&lt;3,H754&amp;"명","3명 이상")</x:f>
        <x:v>0명</x:v>
      </x:c>
      <x:c r="J754" s="2" t="str">
        <x:v>비흡연</x:v>
      </x:c>
      <x:c r="K754" s="2" t="str">
        <x:v>당뇨</x:v>
      </x:c>
      <x:c r="L754" s="2" t="str">
        <x:v>암</x:v>
      </x:c>
      <x:c r="M754" s="2" t="str">
        <x:v>수호천사 간편심사(유병자)보험</x:v>
      </x:c>
      <x:c r="N754" s="2" t="str">
        <x:f>VLOOKUP(M754,'분류기준'!$A$5:$B$8,2,FALSE)</x:f>
        <x:v>간편심사보험</x:v>
      </x:c>
      <x:c r="O754" s="2" t="str">
        <x:v>중증질환 산정특례 보장 특약</x:v>
      </x:c>
      <x:c r="P754" s="2" t="str">
        <x:f>IF(O754="선택 안함","선택 안함",IF(O754="특약 없음","특약 없음","가입"))</x:f>
        <x:v>가입</x:v>
      </x:c>
      <x:c r="Q754" s="2" t="str">
        <x:f>IF(P754="가입","가입","미가입")</x:f>
        <x:v>가입</x:v>
      </x:c>
    </x:row>
    <x:row r="755" ht="23" customHeight="1">
      <x:c r="A755" s="2" t="str">
        <x:v>C0103</x:v>
      </x:c>
      <x:c r="B755" s="7" t="n">
        <x:v>54</x:v>
      </x:c>
      <x:c r="C755" s="2" t="str">
        <x:f>INT(B755/10)*10&amp;"대"</x:f>
        <x:v>50대</x:v>
      </x:c>
      <x:c r="D755" s="2" t="str">
        <x:v>여성</x:v>
      </x:c>
      <x:c r="E755" s="7" t="n">
        <x:v>5000</x:v>
      </x:c>
      <x:c r="F755" s="7" t="n">
        <x:v>1</x:v>
      </x:c>
      <x:c r="G755" s="2" t="str">
        <x:v>기혼</x:v>
      </x:c>
      <x:c r="H755" s="7" t="n">
        <x:v>0</x:v>
      </x:c>
      <x:c r="I755" s="2" t="str">
        <x:f>IF(H755&lt;3,H755&amp;"명","3명 이상")</x:f>
        <x:v>0명</x:v>
      </x:c>
      <x:c r="J755" s="2" t="str">
        <x:v>비흡연</x:v>
      </x:c>
      <x:c r="K755" s="2" t="str">
        <x:v>고혈압</x:v>
      </x:c>
      <x:c r="L755" s="2" t="str">
        <x:v>없음</x:v>
      </x:c>
      <x:c r="M755" s="2" t="str">
        <x:v>수호천사 간편심사(유병자)보험</x:v>
      </x:c>
      <x:c r="N755" s="2" t="str">
        <x:f>VLOOKUP(M755,'분류기준'!$A$5:$B$8,2,FALSE)</x:f>
        <x:v>간편심사보험</x:v>
      </x:c>
      <x:c r="O755" s="2" t="str">
        <x:v>중증질환 산정특례 보장 특약</x:v>
      </x:c>
      <x:c r="P755" s="2" t="str">
        <x:f>IF(O755="선택 안함","선택 안함",IF(O755="특약 없음","특약 없음","가입"))</x:f>
        <x:v>가입</x:v>
      </x:c>
      <x:c r="Q755" s="2" t="str">
        <x:f>IF(P755="가입","가입","미가입")</x:f>
        <x:v>가입</x:v>
      </x:c>
    </x:row>
    <x:row r="756" ht="23" customHeight="1">
      <x:c r="A756" s="2" t="str">
        <x:v>C0119</x:v>
      </x:c>
      <x:c r="B756" s="7" t="n">
        <x:v>54</x:v>
      </x:c>
      <x:c r="C756" s="2" t="str">
        <x:f>INT(B756/10)*10&amp;"대"</x:f>
        <x:v>50대</x:v>
      </x:c>
      <x:c r="D756" s="2" t="str">
        <x:v>여성</x:v>
      </x:c>
      <x:c r="E756" s="7" t="n">
        <x:v>5000</x:v>
      </x:c>
      <x:c r="F756" s="7" t="n">
        <x:v>1</x:v>
      </x:c>
      <x:c r="G756" s="2" t="str">
        <x:v>기혼</x:v>
      </x:c>
      <x:c r="H756" s="7" t="n">
        <x:v>2</x:v>
      </x:c>
      <x:c r="I756" s="2" t="str">
        <x:f>IF(H756&lt;3,H756&amp;"명","3명 이상")</x:f>
        <x:v>2명</x:v>
      </x:c>
      <x:c r="J756" s="2" t="str">
        <x:v>흡연</x:v>
      </x:c>
      <x:c r="K756" s="2" t="str">
        <x:v>없음</x:v>
      </x:c>
      <x:c r="L756" s="2" t="str">
        <x:v>암</x:v>
      </x:c>
      <x:c r="M756" s="2" t="str">
        <x:v>수호천사 간편심사(유병자)보험</x:v>
      </x:c>
      <x:c r="N756" s="2" t="str">
        <x:f>VLOOKUP(M756,'분류기준'!$A$5:$B$8,2,FALSE)</x:f>
        <x:v>간편심사보험</x:v>
      </x:c>
      <x:c r="O756" s="2" t="str">
        <x:v>선택 안함</x:v>
      </x:c>
      <x:c r="P756" s="2" t="str">
        <x:f>IF(O756="선택 안함","선택 안함",IF(O756="특약 없음","특약 없음","가입"))</x:f>
        <x:v>선택 안함</x:v>
      </x:c>
      <x:c r="Q756" s="2" t="str">
        <x:f>IF(P756="가입","가입","미가입")</x:f>
        <x:v>미가입</x:v>
      </x:c>
    </x:row>
    <x:row r="757" ht="23" customHeight="1">
      <x:c r="A757" s="2" t="str">
        <x:v>C0124</x:v>
      </x:c>
      <x:c r="B757" s="7" t="n">
        <x:v>54</x:v>
      </x:c>
      <x:c r="C757" s="2" t="str">
        <x:f>INT(B757/10)*10&amp;"대"</x:f>
        <x:v>50대</x:v>
      </x:c>
      <x:c r="D757" s="2" t="str">
        <x:v>여성</x:v>
      </x:c>
      <x:c r="E757" s="7" t="n">
        <x:v>6000</x:v>
      </x:c>
      <x:c r="F757" s="7" t="n">
        <x:v>3</x:v>
      </x:c>
      <x:c r="G757" s="2" t="str">
        <x:v>기혼</x:v>
      </x:c>
      <x:c r="H757" s="7" t="n">
        <x:v>1</x:v>
      </x:c>
      <x:c r="I757" s="2" t="str">
        <x:f>IF(H757&lt;3,H757&amp;"명","3명 이상")</x:f>
        <x:v>1명</x:v>
      </x:c>
      <x:c r="J757" s="2" t="str">
        <x:v>비흡연</x:v>
      </x:c>
      <x:c r="K757" s="2" t="str">
        <x:v>없음</x:v>
      </x:c>
      <x:c r="L757" s="2" t="str">
        <x:v>심혈관</x:v>
      </x:c>
      <x:c r="M757" s="2" t="str">
        <x:v>수호천사 암/건강보험</x:v>
      </x:c>
      <x:c r="N757" s="2" t="str">
        <x:f>VLOOKUP(M757,'분류기준'!$A$5:$B$8,2,FALSE)</x:f>
        <x:v>암/건강보험</x:v>
      </x:c>
      <x:c r="O757" s="2" t="str">
        <x:v>표적항암약물허가치료 특약</x:v>
      </x:c>
      <x:c r="P757" s="2" t="str">
        <x:f>IF(O757="선택 안함","선택 안함",IF(O757="특약 없음","특약 없음","가입"))</x:f>
        <x:v>가입</x:v>
      </x:c>
      <x:c r="Q757" s="2" t="str">
        <x:f>IF(P757="가입","가입","미가입")</x:f>
        <x:v>가입</x:v>
      </x:c>
    </x:row>
    <x:row r="758" ht="23" customHeight="1">
      <x:c r="A758" s="2" t="str">
        <x:v>C0126</x:v>
      </x:c>
      <x:c r="B758" s="7" t="n">
        <x:v>54</x:v>
      </x:c>
      <x:c r="C758" s="2" t="str">
        <x:f>INT(B758/10)*10&amp;"대"</x:f>
        <x:v>50대</x:v>
      </x:c>
      <x:c r="D758" s="2" t="str">
        <x:v>남성</x:v>
      </x:c>
      <x:c r="E758" s="7" t="n">
        <x:v>3000</x:v>
      </x:c>
      <x:c r="F758" s="7" t="n">
        <x:v>1</x:v>
      </x:c>
      <x:c r="G758" s="2" t="str">
        <x:v>기혼</x:v>
      </x:c>
      <x:c r="H758" s="7" t="n">
        <x:v>0</x:v>
      </x:c>
      <x:c r="I758" s="2" t="str">
        <x:f>IF(H758&lt;3,H758&amp;"명","3명 이상")</x:f>
        <x:v>0명</x:v>
      </x:c>
      <x:c r="J758" s="2" t="str">
        <x:v>비흡연</x:v>
      </x:c>
      <x:c r="K758" s="2" t="str">
        <x:v>없음</x:v>
      </x:c>
      <x:c r="L758" s="2" t="str">
        <x:v>심혈관</x:v>
      </x:c>
      <x:c r="M758" s="2" t="str">
        <x:v>수호천사 행복 연금보험</x:v>
      </x:c>
      <x:c r="N758" s="2" t="str">
        <x:f>VLOOKUP(M758,'분류기준'!$A$5:$B$8,2,FALSE)</x:f>
        <x:v>연금보험</x:v>
      </x:c>
      <x:c r="O758" s="2" t="str">
        <x:v>특약 없음</x:v>
      </x:c>
      <x:c r="P758" s="2" t="str">
        <x:f>IF(O758="선택 안함","선택 안함",IF(O758="특약 없음","특약 없음","가입"))</x:f>
        <x:v>특약 없음</x:v>
      </x:c>
      <x:c r="Q758" s="2" t="str">
        <x:f>IF(P758="가입","가입","미가입")</x:f>
        <x:v>미가입</x:v>
      </x:c>
    </x:row>
    <x:row r="759" ht="23" customHeight="1">
      <x:c r="A759" s="2" t="str">
        <x:v>C0256</x:v>
      </x:c>
      <x:c r="B759" s="7" t="n">
        <x:v>54</x:v>
      </x:c>
      <x:c r="C759" s="2" t="str">
        <x:f>INT(B759/10)*10&amp;"대"</x:f>
        <x:v>50대</x:v>
      </x:c>
      <x:c r="D759" s="2" t="str">
        <x:v>여성</x:v>
      </x:c>
      <x:c r="E759" s="7" t="n">
        <x:v>4000</x:v>
      </x:c>
      <x:c r="F759" s="7" t="n">
        <x:v>1</x:v>
      </x:c>
      <x:c r="G759" s="2" t="str">
        <x:v>기혼</x:v>
      </x:c>
      <x:c r="H759" s="7" t="n">
        <x:v>1</x:v>
      </x:c>
      <x:c r="I759" s="2" t="str">
        <x:f>IF(H759&lt;3,H759&amp;"명","3명 이상")</x:f>
        <x:v>1명</x:v>
      </x:c>
      <x:c r="J759" s="2" t="str">
        <x:v>흡연</x:v>
      </x:c>
      <x:c r="K759" s="2" t="str">
        <x:v>없음</x:v>
      </x:c>
      <x:c r="L759" s="2" t="str">
        <x:v>암</x:v>
      </x:c>
      <x:c r="M759" s="2" t="str">
        <x:v>수호천사 암/건강보험</x:v>
      </x:c>
      <x:c r="N759" s="2" t="str">
        <x:f>VLOOKUP(M759,'분류기준'!$A$5:$B$8,2,FALSE)</x:f>
        <x:v>암/건강보험</x:v>
      </x:c>
      <x:c r="O759" s="2" t="str">
        <x:v>표적항암약물허가치료 특약</x:v>
      </x:c>
      <x:c r="P759" s="2" t="str">
        <x:f>IF(O759="선택 안함","선택 안함",IF(O759="특약 없음","특약 없음","가입"))</x:f>
        <x:v>가입</x:v>
      </x:c>
      <x:c r="Q759" s="2" t="str">
        <x:f>IF(P759="가입","가입","미가입")</x:f>
        <x:v>가입</x:v>
      </x:c>
    </x:row>
    <x:row r="760" ht="23" customHeight="1">
      <x:c r="A760" s="2" t="str">
        <x:v>C0268</x:v>
      </x:c>
      <x:c r="B760" s="7" t="n">
        <x:v>54</x:v>
      </x:c>
      <x:c r="C760" s="2" t="str">
        <x:f>INT(B760/10)*10&amp;"대"</x:f>
        <x:v>50대</x:v>
      </x:c>
      <x:c r="D760" s="2" t="str">
        <x:v>남성</x:v>
      </x:c>
      <x:c r="E760" s="7" t="n">
        <x:v>3000</x:v>
      </x:c>
      <x:c r="F760" s="7" t="n">
        <x:v>3</x:v>
      </x:c>
      <x:c r="G760" s="2" t="str">
        <x:v>기혼</x:v>
      </x:c>
      <x:c r="H760" s="7" t="n">
        <x:v>1</x:v>
      </x:c>
      <x:c r="I760" s="2" t="str">
        <x:f>IF(H760&lt;3,H760&amp;"명","3명 이상")</x:f>
        <x:v>1명</x:v>
      </x:c>
      <x:c r="J760" s="2" t="str">
        <x:v>비흡연</x:v>
      </x:c>
      <x:c r="K760" s="2" t="str">
        <x:v>고혈압</x:v>
      </x:c>
      <x:c r="L760" s="2" t="str">
        <x:v>없음</x:v>
      </x:c>
      <x:c r="M760" s="2" t="str">
        <x:v>수호천사 간편심사(유병자)보험</x:v>
      </x:c>
      <x:c r="N760" s="2" t="str">
        <x:f>VLOOKUP(M760,'분류기준'!$A$5:$B$8,2,FALSE)</x:f>
        <x:v>간편심사보험</x:v>
      </x:c>
      <x:c r="O760" s="2" t="str">
        <x:v>중증질환 산정특례 보장 특약</x:v>
      </x:c>
      <x:c r="P760" s="2" t="str">
        <x:f>IF(O760="선택 안함","선택 안함",IF(O760="특약 없음","특약 없음","가입"))</x:f>
        <x:v>가입</x:v>
      </x:c>
      <x:c r="Q760" s="2" t="str">
        <x:f>IF(P760="가입","가입","미가입")</x:f>
        <x:v>가입</x:v>
      </x:c>
    </x:row>
    <x:row r="761" ht="23" customHeight="1">
      <x:c r="A761" s="2" t="str">
        <x:v>C0282</x:v>
      </x:c>
      <x:c r="B761" s="7" t="n">
        <x:v>54</x:v>
      </x:c>
      <x:c r="C761" s="2" t="str">
        <x:f>INT(B761/10)*10&amp;"대"</x:f>
        <x:v>50대</x:v>
      </x:c>
      <x:c r="D761" s="2" t="str">
        <x:v>여성</x:v>
      </x:c>
      <x:c r="E761" s="7" t="n">
        <x:v>4000</x:v>
      </x:c>
      <x:c r="F761" s="7" t="n">
        <x:v>2</x:v>
      </x:c>
      <x:c r="G761" s="2" t="str">
        <x:v>기혼</x:v>
      </x:c>
      <x:c r="H761" s="7" t="n">
        <x:v>1</x:v>
      </x:c>
      <x:c r="I761" s="2" t="str">
        <x:f>IF(H761&lt;3,H761&amp;"명","3명 이상")</x:f>
        <x:v>1명</x:v>
      </x:c>
      <x:c r="J761" s="2" t="str">
        <x:v>흡연</x:v>
      </x:c>
      <x:c r="K761" s="2" t="str">
        <x:v>고혈압</x:v>
      </x:c>
      <x:c r="L761" s="2" t="str">
        <x:v>없음</x:v>
      </x:c>
      <x:c r="M761" s="2" t="str">
        <x:v>수호천사 간편심사(유병자)보험</x:v>
      </x:c>
      <x:c r="N761" s="2" t="str">
        <x:f>VLOOKUP(M761,'분류기준'!$A$5:$B$8,2,FALSE)</x:f>
        <x:v>간편심사보험</x:v>
      </x:c>
      <x:c r="O761" s="2" t="str">
        <x:v>중증질환 산정특례 보장 특약</x:v>
      </x:c>
      <x:c r="P761" s="2" t="str">
        <x:f>IF(O761="선택 안함","선택 안함",IF(O761="특약 없음","특약 없음","가입"))</x:f>
        <x:v>가입</x:v>
      </x:c>
      <x:c r="Q761" s="2" t="str">
        <x:f>IF(P761="가입","가입","미가입")</x:f>
        <x:v>가입</x:v>
      </x:c>
    </x:row>
    <x:row r="762" ht="23" customHeight="1">
      <x:c r="A762" s="2" t="str">
        <x:v>C0284</x:v>
      </x:c>
      <x:c r="B762" s="7" t="n">
        <x:v>54</x:v>
      </x:c>
      <x:c r="C762" s="2" t="str">
        <x:f>INT(B762/10)*10&amp;"대"</x:f>
        <x:v>50대</x:v>
      </x:c>
      <x:c r="D762" s="2" t="str">
        <x:v>여성</x:v>
      </x:c>
      <x:c r="E762" s="7" t="n">
        <x:v>7500</x:v>
      </x:c>
      <x:c r="F762" s="7" t="n">
        <x:v>1</x:v>
      </x:c>
      <x:c r="G762" s="2" t="str">
        <x:v>기혼</x:v>
      </x:c>
      <x:c r="H762" s="7" t="n">
        <x:v>1</x:v>
      </x:c>
      <x:c r="I762" s="2" t="str">
        <x:f>IF(H762&lt;3,H762&amp;"명","3명 이상")</x:f>
        <x:v>1명</x:v>
      </x:c>
      <x:c r="J762" s="2" t="str">
        <x:v>비흡연</x:v>
      </x:c>
      <x:c r="K762" s="2" t="str">
        <x:v>고혈압</x:v>
      </x:c>
      <x:c r="L762" s="2" t="str">
        <x:v>없음</x:v>
      </x:c>
      <x:c r="M762" s="2" t="str">
        <x:v>수호천사 간편심사(유병자)보험</x:v>
      </x:c>
      <x:c r="N762" s="2" t="str">
        <x:f>VLOOKUP(M762,'분류기준'!$A$5:$B$8,2,FALSE)</x:f>
        <x:v>간편심사보험</x:v>
      </x:c>
      <x:c r="O762" s="2" t="str">
        <x:v>중증질환 산정특례 보장 특약</x:v>
      </x:c>
      <x:c r="P762" s="2" t="str">
        <x:f>IF(O762="선택 안함","선택 안함",IF(O762="특약 없음","특약 없음","가입"))</x:f>
        <x:v>가입</x:v>
      </x:c>
      <x:c r="Q762" s="2" t="str">
        <x:f>IF(P762="가입","가입","미가입")</x:f>
        <x:v>가입</x:v>
      </x:c>
    </x:row>
    <x:row r="763" ht="23" customHeight="1">
      <x:c r="A763" s="2" t="str">
        <x:v>C0291</x:v>
      </x:c>
      <x:c r="B763" s="7" t="n">
        <x:v>54</x:v>
      </x:c>
      <x:c r="C763" s="2" t="str">
        <x:f>INT(B763/10)*10&amp;"대"</x:f>
        <x:v>50대</x:v>
      </x:c>
      <x:c r="D763" s="2" t="str">
        <x:v>남성</x:v>
      </x:c>
      <x:c r="E763" s="7" t="n">
        <x:v>4000</x:v>
      </x:c>
      <x:c r="F763" s="7" t="n">
        <x:v>1</x:v>
      </x:c>
      <x:c r="G763" s="2" t="str">
        <x:v>기혼</x:v>
      </x:c>
      <x:c r="H763" s="7" t="n">
        <x:v>1</x:v>
      </x:c>
      <x:c r="I763" s="2" t="str">
        <x:f>IF(H763&lt;3,H763&amp;"명","3명 이상")</x:f>
        <x:v>1명</x:v>
      </x:c>
      <x:c r="J763" s="2" t="str">
        <x:v>비흡연</x:v>
      </x:c>
      <x:c r="K763" s="2" t="str">
        <x:v>없음</x:v>
      </x:c>
      <x:c r="L763" s="2" t="str">
        <x:v>없음</x:v>
      </x:c>
      <x:c r="M763" s="2" t="str">
        <x:v>수호천사 행복 연금보험</x:v>
      </x:c>
      <x:c r="N763" s="2" t="str">
        <x:f>VLOOKUP(M763,'분류기준'!$A$5:$B$8,2,FALSE)</x:f>
        <x:v>연금보험</x:v>
      </x:c>
      <x:c r="O763" s="2" t="str">
        <x:v>특약 없음</x:v>
      </x:c>
      <x:c r="P763" s="2" t="str">
        <x:f>IF(O763="선택 안함","선택 안함",IF(O763="특약 없음","특약 없음","가입"))</x:f>
        <x:v>특약 없음</x:v>
      </x:c>
      <x:c r="Q763" s="2" t="str">
        <x:f>IF(P763="가입","가입","미가입")</x:f>
        <x:v>미가입</x:v>
      </x:c>
    </x:row>
    <x:row r="764" ht="23" customHeight="1">
      <x:c r="A764" s="2" t="str">
        <x:v>C0326</x:v>
      </x:c>
      <x:c r="B764" s="7" t="n">
        <x:v>54</x:v>
      </x:c>
      <x:c r="C764" s="2" t="str">
        <x:f>INT(B764/10)*10&amp;"대"</x:f>
        <x:v>50대</x:v>
      </x:c>
      <x:c r="D764" s="2" t="str">
        <x:v>여성</x:v>
      </x:c>
      <x:c r="E764" s="7" t="n">
        <x:v>5000</x:v>
      </x:c>
      <x:c r="F764" s="7" t="n">
        <x:v>1</x:v>
      </x:c>
      <x:c r="G764" s="2" t="str">
        <x:v>기혼</x:v>
      </x:c>
      <x:c r="H764" s="7" t="n">
        <x:v>0</x:v>
      </x:c>
      <x:c r="I764" s="2" t="str">
        <x:f>IF(H764&lt;3,H764&amp;"명","3명 이상")</x:f>
        <x:v>0명</x:v>
      </x:c>
      <x:c r="J764" s="2" t="str">
        <x:v>비흡연</x:v>
      </x:c>
      <x:c r="K764" s="2" t="str">
        <x:v>없음</x:v>
      </x:c>
      <x:c r="L764" s="2" t="str">
        <x:v>없음</x:v>
      </x:c>
      <x:c r="M764" s="2" t="str">
        <x:v>수호천사 우리가족 종신보험</x:v>
      </x:c>
      <x:c r="N764" s="2" t="str">
        <x:f>VLOOKUP(M764,'분류기준'!$A$5:$B$8,2,FALSE)</x:f>
        <x:v>종신보험</x:v>
      </x:c>
      <x:c r="O764" s="2" t="str">
        <x:v>가족 수입 보장 특약</x:v>
      </x:c>
      <x:c r="P764" s="2" t="str">
        <x:f>IF(O764="선택 안함","선택 안함",IF(O764="특약 없음","특약 없음","가입"))</x:f>
        <x:v>가입</x:v>
      </x:c>
      <x:c r="Q764" s="2" t="str">
        <x:f>IF(P764="가입","가입","미가입")</x:f>
        <x:v>가입</x:v>
      </x:c>
    </x:row>
    <x:row r="765" ht="23" customHeight="1">
      <x:c r="A765" s="2" t="str">
        <x:v>C0334</x:v>
      </x:c>
      <x:c r="B765" s="7" t="n">
        <x:v>54</x:v>
      </x:c>
      <x:c r="C765" s="2" t="str">
        <x:f>INT(B765/10)*10&amp;"대"</x:f>
        <x:v>50대</x:v>
      </x:c>
      <x:c r="D765" s="2" t="str">
        <x:v>남성</x:v>
      </x:c>
      <x:c r="E765" s="7" t="n">
        <x:v>7500</x:v>
      </x:c>
      <x:c r="F765" s="7" t="n">
        <x:v>1</x:v>
      </x:c>
      <x:c r="G765" s="2" t="str">
        <x:v>기혼</x:v>
      </x:c>
      <x:c r="H765" s="7" t="n">
        <x:v>1</x:v>
      </x:c>
      <x:c r="I765" s="2" t="str">
        <x:f>IF(H765&lt;3,H765&amp;"명","3명 이상")</x:f>
        <x:v>1명</x:v>
      </x:c>
      <x:c r="J765" s="2" t="str">
        <x:v>비흡연</x:v>
      </x:c>
      <x:c r="K765" s="2" t="str">
        <x:v>없음</x:v>
      </x:c>
      <x:c r="L765" s="2" t="str">
        <x:v>없음</x:v>
      </x:c>
      <x:c r="M765" s="2" t="str">
        <x:v>수호천사 우리가족 종신보험</x:v>
      </x:c>
      <x:c r="N765" s="2" t="str">
        <x:f>VLOOKUP(M765,'분류기준'!$A$5:$B$8,2,FALSE)</x:f>
        <x:v>종신보험</x:v>
      </x:c>
      <x:c r="O765" s="2" t="str">
        <x:v>가족 수입 보장 특약</x:v>
      </x:c>
      <x:c r="P765" s="2" t="str">
        <x:f>IF(O765="선택 안함","선택 안함",IF(O765="특약 없음","특약 없음","가입"))</x:f>
        <x:v>가입</x:v>
      </x:c>
      <x:c r="Q765" s="2" t="str">
        <x:f>IF(P765="가입","가입","미가입")</x:f>
        <x:v>가입</x:v>
      </x:c>
    </x:row>
    <x:row r="766" ht="23" customHeight="1">
      <x:c r="A766" s="2" t="str">
        <x:v>C0341</x:v>
      </x:c>
      <x:c r="B766" s="7" t="n">
        <x:v>54</x:v>
      </x:c>
      <x:c r="C766" s="2" t="str">
        <x:f>INT(B766/10)*10&amp;"대"</x:f>
        <x:v>50대</x:v>
      </x:c>
      <x:c r="D766" s="2" t="str">
        <x:v>남성</x:v>
      </x:c>
      <x:c r="E766" s="7" t="n">
        <x:v>12000</x:v>
      </x:c>
      <x:c r="F766" s="7" t="n">
        <x:v>1</x:v>
      </x:c>
      <x:c r="G766" s="2" t="str">
        <x:v>기혼</x:v>
      </x:c>
      <x:c r="H766" s="7" t="n">
        <x:v>1</x:v>
      </x:c>
      <x:c r="I766" s="2" t="str">
        <x:f>IF(H766&lt;3,H766&amp;"명","3명 이상")</x:f>
        <x:v>1명</x:v>
      </x:c>
      <x:c r="J766" s="2" t="str">
        <x:v>흡연</x:v>
      </x:c>
      <x:c r="K766" s="2" t="str">
        <x:v>없음</x:v>
      </x:c>
      <x:c r="L766" s="2" t="str">
        <x:v>없음</x:v>
      </x:c>
      <x:c r="M766" s="2" t="str">
        <x:v>수호천사 암/건강보험</x:v>
      </x:c>
      <x:c r="N766" s="2" t="str">
        <x:f>VLOOKUP(M766,'분류기준'!$A$5:$B$8,2,FALSE)</x:f>
        <x:v>암/건강보험</x:v>
      </x:c>
      <x:c r="O766" s="2" t="str">
        <x:v>표적항암약물허가치료 특약</x:v>
      </x:c>
      <x:c r="P766" s="2" t="str">
        <x:f>IF(O766="선택 안함","선택 안함",IF(O766="특약 없음","특약 없음","가입"))</x:f>
        <x:v>가입</x:v>
      </x:c>
      <x:c r="Q766" s="2" t="str">
        <x:f>IF(P766="가입","가입","미가입")</x:f>
        <x:v>가입</x:v>
      </x:c>
    </x:row>
    <x:row r="767" ht="23" customHeight="1">
      <x:c r="A767" s="2" t="str">
        <x:v>C0373</x:v>
      </x:c>
      <x:c r="B767" s="7" t="n">
        <x:v>54</x:v>
      </x:c>
      <x:c r="C767" s="2" t="str">
        <x:f>INT(B767/10)*10&amp;"대"</x:f>
        <x:v>50대</x:v>
      </x:c>
      <x:c r="D767" s="2" t="str">
        <x:v>남성</x:v>
      </x:c>
      <x:c r="E767" s="7" t="n">
        <x:v>6000</x:v>
      </x:c>
      <x:c r="F767" s="7" t="n">
        <x:v>1</x:v>
      </x:c>
      <x:c r="G767" s="2" t="str">
        <x:v>기혼</x:v>
      </x:c>
      <x:c r="H767" s="7" t="n">
        <x:v>2</x:v>
      </x:c>
      <x:c r="I767" s="2" t="str">
        <x:f>IF(H767&lt;3,H767&amp;"명","3명 이상")</x:f>
        <x:v>2명</x:v>
      </x:c>
      <x:c r="J767" s="2" t="str">
        <x:v>비흡연</x:v>
      </x:c>
      <x:c r="K767" s="2" t="str">
        <x:v>없음</x:v>
      </x:c>
      <x:c r="L767" s="2" t="str">
        <x:v>없음</x:v>
      </x:c>
      <x:c r="M767" s="2" t="str">
        <x:v>수호천사 우리가족 종신보험</x:v>
      </x:c>
      <x:c r="N767" s="2" t="str">
        <x:f>VLOOKUP(M767,'분류기준'!$A$5:$B$8,2,FALSE)</x:f>
        <x:v>종신보험</x:v>
      </x:c>
      <x:c r="O767" s="2" t="str">
        <x:v>가족 수입 보장 특약</x:v>
      </x:c>
      <x:c r="P767" s="2" t="str">
        <x:f>IF(O767="선택 안함","선택 안함",IF(O767="특약 없음","특약 없음","가입"))</x:f>
        <x:v>가입</x:v>
      </x:c>
      <x:c r="Q767" s="2" t="str">
        <x:f>IF(P767="가입","가입","미가입")</x:f>
        <x:v>가입</x:v>
      </x:c>
    </x:row>
    <x:row r="768" ht="23" customHeight="1">
      <x:c r="A768" s="2" t="str">
        <x:v>C0414</x:v>
      </x:c>
      <x:c r="B768" s="7" t="n">
        <x:v>54</x:v>
      </x:c>
      <x:c r="C768" s="2" t="str">
        <x:f>INT(B768/10)*10&amp;"대"</x:f>
        <x:v>50대</x:v>
      </x:c>
      <x:c r="D768" s="2" t="str">
        <x:v>남성</x:v>
      </x:c>
      <x:c r="E768" s="7" t="n">
        <x:v>4000</x:v>
      </x:c>
      <x:c r="F768" s="7" t="n">
        <x:v>1</x:v>
      </x:c>
      <x:c r="G768" s="2" t="str">
        <x:v>기혼</x:v>
      </x:c>
      <x:c r="H768" s="7" t="n">
        <x:v>1</x:v>
      </x:c>
      <x:c r="I768" s="2" t="str">
        <x:f>IF(H768&lt;3,H768&amp;"명","3명 이상")</x:f>
        <x:v>1명</x:v>
      </x:c>
      <x:c r="J768" s="2" t="str">
        <x:v>비흡연</x:v>
      </x:c>
      <x:c r="K768" s="2" t="str">
        <x:v>없음</x:v>
      </x:c>
      <x:c r="L768" s="2" t="str">
        <x:v>없음</x:v>
      </x:c>
      <x:c r="M768" s="2" t="str">
        <x:v>수호천사 행복 연금보험</x:v>
      </x:c>
      <x:c r="N768" s="2" t="str">
        <x:f>VLOOKUP(M768,'분류기준'!$A$5:$B$8,2,FALSE)</x:f>
        <x:v>연금보험</x:v>
      </x:c>
      <x:c r="O768" s="2" t="str">
        <x:v>특약 없음</x:v>
      </x:c>
      <x:c r="P768" s="2" t="str">
        <x:f>IF(O768="선택 안함","선택 안함",IF(O768="특약 없음","특약 없음","가입"))</x:f>
        <x:v>특약 없음</x:v>
      </x:c>
      <x:c r="Q768" s="2" t="str">
        <x:f>IF(P768="가입","가입","미가입")</x:f>
        <x:v>미가입</x:v>
      </x:c>
    </x:row>
    <x:row r="769" ht="23" customHeight="1">
      <x:c r="A769" s="2" t="str">
        <x:v>C0489</x:v>
      </x:c>
      <x:c r="B769" s="7" t="n">
        <x:v>54</x:v>
      </x:c>
      <x:c r="C769" s="2" t="str">
        <x:f>INT(B769/10)*10&amp;"대"</x:f>
        <x:v>50대</x:v>
      </x:c>
      <x:c r="D769" s="2" t="str">
        <x:v>여성</x:v>
      </x:c>
      <x:c r="E769" s="7" t="n">
        <x:v>7500</x:v>
      </x:c>
      <x:c r="F769" s="7" t="n">
        <x:v>1</x:v>
      </x:c>
      <x:c r="G769" s="2" t="str">
        <x:v>미혼</x:v>
      </x:c>
      <x:c r="H769" s="7" t="n">
        <x:v>0</x:v>
      </x:c>
      <x:c r="I769" s="2" t="str">
        <x:f>IF(H769&lt;3,H769&amp;"명","3명 이상")</x:f>
        <x:v>0명</x:v>
      </x:c>
      <x:c r="J769" s="2" t="str">
        <x:v>비흡연</x:v>
      </x:c>
      <x:c r="K769" s="2" t="str">
        <x:v>고혈압</x:v>
      </x:c>
      <x:c r="L769" s="2" t="str">
        <x:v>없음</x:v>
      </x:c>
      <x:c r="M769" s="2" t="str">
        <x:v>수호천사 간편심사(유병자)보험</x:v>
      </x:c>
      <x:c r="N769" s="2" t="str">
        <x:f>VLOOKUP(M769,'분류기준'!$A$5:$B$8,2,FALSE)</x:f>
        <x:v>간편심사보험</x:v>
      </x:c>
      <x:c r="O769" s="2" t="str">
        <x:v>중증질환 산정특례 보장 특약</x:v>
      </x:c>
      <x:c r="P769" s="2" t="str">
        <x:f>IF(O769="선택 안함","선택 안함",IF(O769="특약 없음","특약 없음","가입"))</x:f>
        <x:v>가입</x:v>
      </x:c>
      <x:c r="Q769" s="2" t="str">
        <x:f>IF(P769="가입","가입","미가입")</x:f>
        <x:v>가입</x:v>
      </x:c>
    </x:row>
    <x:row r="770" ht="23" customHeight="1">
      <x:c r="A770" s="2" t="str">
        <x:v>C0508</x:v>
      </x:c>
      <x:c r="B770" s="7" t="n">
        <x:v>54</x:v>
      </x:c>
      <x:c r="C770" s="2" t="str">
        <x:f>INT(B770/10)*10&amp;"대"</x:f>
        <x:v>50대</x:v>
      </x:c>
      <x:c r="D770" s="2" t="str">
        <x:v>여성</x:v>
      </x:c>
      <x:c r="E770" s="7" t="n">
        <x:v>5000</x:v>
      </x:c>
      <x:c r="F770" s="7" t="n">
        <x:v>1</x:v>
      </x:c>
      <x:c r="G770" s="2" t="str">
        <x:v>기혼</x:v>
      </x:c>
      <x:c r="H770" s="7" t="n">
        <x:v>0</x:v>
      </x:c>
      <x:c r="I770" s="2" t="str">
        <x:f>IF(H770&lt;3,H770&amp;"명","3명 이상")</x:f>
        <x:v>0명</x:v>
      </x:c>
      <x:c r="J770" s="2" t="str">
        <x:v>비흡연</x:v>
      </x:c>
      <x:c r="K770" s="2" t="str">
        <x:v>고혈압</x:v>
      </x:c>
      <x:c r="L770" s="2" t="str">
        <x:v>암</x:v>
      </x:c>
      <x:c r="M770" s="2" t="str">
        <x:v>수호천사 암/건강보험</x:v>
      </x:c>
      <x:c r="N770" s="2" t="str">
        <x:f>VLOOKUP(M770,'분류기준'!$A$5:$B$8,2,FALSE)</x:f>
        <x:v>암/건강보험</x:v>
      </x:c>
      <x:c r="O770" s="2" t="str">
        <x:v>표적항암약물허가치료 특약</x:v>
      </x:c>
      <x:c r="P770" s="2" t="str">
        <x:f>IF(O770="선택 안함","선택 안함",IF(O770="특약 없음","특약 없음","가입"))</x:f>
        <x:v>가입</x:v>
      </x:c>
      <x:c r="Q770" s="2" t="str">
        <x:f>IF(P770="가입","가입","미가입")</x:f>
        <x:v>가입</x:v>
      </x:c>
    </x:row>
    <x:row r="771" ht="23" customHeight="1">
      <x:c r="A771" s="2" t="str">
        <x:v>C0532</x:v>
      </x:c>
      <x:c r="B771" s="7" t="n">
        <x:v>54</x:v>
      </x:c>
      <x:c r="C771" s="2" t="str">
        <x:f>INT(B771/10)*10&amp;"대"</x:f>
        <x:v>50대</x:v>
      </x:c>
      <x:c r="D771" s="2" t="str">
        <x:v>남성</x:v>
      </x:c>
      <x:c r="E771" s="7" t="n">
        <x:v>9000</x:v>
      </x:c>
      <x:c r="F771" s="7" t="n">
        <x:v>1</x:v>
      </x:c>
      <x:c r="G771" s="2" t="str">
        <x:v>기혼</x:v>
      </x:c>
      <x:c r="H771" s="7" t="n">
        <x:v>0</x:v>
      </x:c>
      <x:c r="I771" s="2" t="str">
        <x:f>IF(H771&lt;3,H771&amp;"명","3명 이상")</x:f>
        <x:v>0명</x:v>
      </x:c>
      <x:c r="J771" s="2" t="str">
        <x:v>비흡연</x:v>
      </x:c>
      <x:c r="K771" s="2" t="str">
        <x:v>없음</x:v>
      </x:c>
      <x:c r="L771" s="2" t="str">
        <x:v>없음</x:v>
      </x:c>
      <x:c r="M771" s="2" t="str">
        <x:v>수호천사 행복 연금보험</x:v>
      </x:c>
      <x:c r="N771" s="2" t="str">
        <x:f>VLOOKUP(M771,'분류기준'!$A$5:$B$8,2,FALSE)</x:f>
        <x:v>연금보험</x:v>
      </x:c>
      <x:c r="O771" s="2" t="str">
        <x:v>특약 없음</x:v>
      </x:c>
      <x:c r="P771" s="2" t="str">
        <x:f>IF(O771="선택 안함","선택 안함",IF(O771="특약 없음","특약 없음","가입"))</x:f>
        <x:v>특약 없음</x:v>
      </x:c>
      <x:c r="Q771" s="2" t="str">
        <x:f>IF(P771="가입","가입","미가입")</x:f>
        <x:v>미가입</x:v>
      </x:c>
    </x:row>
    <x:row r="772" ht="23" customHeight="1">
      <x:c r="A772" s="2" t="str">
        <x:v>C0533</x:v>
      </x:c>
      <x:c r="B772" s="7" t="n">
        <x:v>54</x:v>
      </x:c>
      <x:c r="C772" s="2" t="str">
        <x:f>INT(B772/10)*10&amp;"대"</x:f>
        <x:v>50대</x:v>
      </x:c>
      <x:c r="D772" s="2" t="str">
        <x:v>여성</x:v>
      </x:c>
      <x:c r="E772" s="7" t="n">
        <x:v>3000</x:v>
      </x:c>
      <x:c r="F772" s="7" t="n">
        <x:v>3</x:v>
      </x:c>
      <x:c r="G772" s="2" t="str">
        <x:v>기혼</x:v>
      </x:c>
      <x:c r="H772" s="7" t="n">
        <x:v>1</x:v>
      </x:c>
      <x:c r="I772" s="2" t="str">
        <x:f>IF(H772&lt;3,H772&amp;"명","3명 이상")</x:f>
        <x:v>1명</x:v>
      </x:c>
      <x:c r="J772" s="2" t="str">
        <x:v>비흡연</x:v>
      </x:c>
      <x:c r="K772" s="2" t="str">
        <x:v>없음</x:v>
      </x:c>
      <x:c r="L772" s="2" t="str">
        <x:v>없음</x:v>
      </x:c>
      <x:c r="M772" s="2" t="str">
        <x:v>수호천사 간편심사(유병자)보험</x:v>
      </x:c>
      <x:c r="N772" s="2" t="str">
        <x:f>VLOOKUP(M772,'분류기준'!$A$5:$B$8,2,FALSE)</x:f>
        <x:v>간편심사보험</x:v>
      </x:c>
      <x:c r="O772" s="2" t="str">
        <x:v>중증질환 산정특례 보장 특약</x:v>
      </x:c>
      <x:c r="P772" s="2" t="str">
        <x:f>IF(O772="선택 안함","선택 안함",IF(O772="특약 없음","특약 없음","가입"))</x:f>
        <x:v>가입</x:v>
      </x:c>
      <x:c r="Q772" s="2" t="str">
        <x:f>IF(P772="가입","가입","미가입")</x:f>
        <x:v>가입</x:v>
      </x:c>
    </x:row>
    <x:row r="773" ht="23" customHeight="1">
      <x:c r="A773" s="2" t="str">
        <x:v>C0546</x:v>
      </x:c>
      <x:c r="B773" s="7" t="n">
        <x:v>54</x:v>
      </x:c>
      <x:c r="C773" s="2" t="str">
        <x:f>INT(B773/10)*10&amp;"대"</x:f>
        <x:v>50대</x:v>
      </x:c>
      <x:c r="D773" s="2" t="str">
        <x:v>여성</x:v>
      </x:c>
      <x:c r="E773" s="7" t="n">
        <x:v>6000</x:v>
      </x:c>
      <x:c r="F773" s="7" t="n">
        <x:v>1</x:v>
      </x:c>
      <x:c r="G773" s="2" t="str">
        <x:v>기혼</x:v>
      </x:c>
      <x:c r="H773" s="7" t="n">
        <x:v>1</x:v>
      </x:c>
      <x:c r="I773" s="2" t="str">
        <x:f>IF(H773&lt;3,H773&amp;"명","3명 이상")</x:f>
        <x:v>1명</x:v>
      </x:c>
      <x:c r="J773" s="2" t="str">
        <x:v>비흡연</x:v>
      </x:c>
      <x:c r="K773" s="2" t="str">
        <x:v>없음</x:v>
      </x:c>
      <x:c r="L773" s="2" t="str">
        <x:v>없음</x:v>
      </x:c>
      <x:c r="M773" s="2" t="str">
        <x:v>수호천사 우리가족 종신보험</x:v>
      </x:c>
      <x:c r="N773" s="2" t="str">
        <x:f>VLOOKUP(M773,'분류기준'!$A$5:$B$8,2,FALSE)</x:f>
        <x:v>종신보험</x:v>
      </x:c>
      <x:c r="O773" s="2" t="str">
        <x:v>가족 수입 보장 특약</x:v>
      </x:c>
      <x:c r="P773" s="2" t="str">
        <x:f>IF(O773="선택 안함","선택 안함",IF(O773="특약 없음","특약 없음","가입"))</x:f>
        <x:v>가입</x:v>
      </x:c>
      <x:c r="Q773" s="2" t="str">
        <x:f>IF(P773="가입","가입","미가입")</x:f>
        <x:v>가입</x:v>
      </x:c>
    </x:row>
    <x:row r="774" ht="23" customHeight="1">
      <x:c r="A774" s="2" t="str">
        <x:v>C0568</x:v>
      </x:c>
      <x:c r="B774" s="7" t="n">
        <x:v>54</x:v>
      </x:c>
      <x:c r="C774" s="2" t="str">
        <x:f>INT(B774/10)*10&amp;"대"</x:f>
        <x:v>50대</x:v>
      </x:c>
      <x:c r="D774" s="2" t="str">
        <x:v>남성</x:v>
      </x:c>
      <x:c r="E774" s="7" t="n">
        <x:v>4000</x:v>
      </x:c>
      <x:c r="F774" s="7" t="n">
        <x:v>1</x:v>
      </x:c>
      <x:c r="G774" s="2" t="str">
        <x:v>기혼</x:v>
      </x:c>
      <x:c r="H774" s="7" t="n">
        <x:v>1</x:v>
      </x:c>
      <x:c r="I774" s="2" t="str">
        <x:f>IF(H774&lt;3,H774&amp;"명","3명 이상")</x:f>
        <x:v>1명</x:v>
      </x:c>
      <x:c r="J774" s="2" t="str">
        <x:v>비흡연</x:v>
      </x:c>
      <x:c r="K774" s="2" t="str">
        <x:v>고혈압</x:v>
      </x:c>
      <x:c r="L774" s="2" t="str">
        <x:v>없음</x:v>
      </x:c>
      <x:c r="M774" s="2" t="str">
        <x:v>수호천사 간편심사(유병자)보험</x:v>
      </x:c>
      <x:c r="N774" s="2" t="str">
        <x:f>VLOOKUP(M774,'분류기준'!$A$5:$B$8,2,FALSE)</x:f>
        <x:v>간편심사보험</x:v>
      </x:c>
      <x:c r="O774" s="2" t="str">
        <x:v>중증질환 산정특례 보장 특약</x:v>
      </x:c>
      <x:c r="P774" s="2" t="str">
        <x:f>IF(O774="선택 안함","선택 안함",IF(O774="특약 없음","특약 없음","가입"))</x:f>
        <x:v>가입</x:v>
      </x:c>
      <x:c r="Q774" s="2" t="str">
        <x:f>IF(P774="가입","가입","미가입")</x:f>
        <x:v>가입</x:v>
      </x:c>
    </x:row>
    <x:row r="775" ht="23" customHeight="1">
      <x:c r="A775" s="2" t="str">
        <x:v>C0582</x:v>
      </x:c>
      <x:c r="B775" s="7" t="n">
        <x:v>54</x:v>
      </x:c>
      <x:c r="C775" s="2" t="str">
        <x:f>INT(B775/10)*10&amp;"대"</x:f>
        <x:v>50대</x:v>
      </x:c>
      <x:c r="D775" s="2" t="str">
        <x:v>여성</x:v>
      </x:c>
      <x:c r="E775" s="7" t="n">
        <x:v>4000</x:v>
      </x:c>
      <x:c r="F775" s="7" t="n">
        <x:v>1</x:v>
      </x:c>
      <x:c r="G775" s="2" t="str">
        <x:v>기혼</x:v>
      </x:c>
      <x:c r="H775" s="7" t="n">
        <x:v>1</x:v>
      </x:c>
      <x:c r="I775" s="2" t="str">
        <x:f>IF(H775&lt;3,H775&amp;"명","3명 이상")</x:f>
        <x:v>1명</x:v>
      </x:c>
      <x:c r="J775" s="2" t="str">
        <x:v>비흡연</x:v>
      </x:c>
      <x:c r="K775" s="2" t="str">
        <x:v>없음</x:v>
      </x:c>
      <x:c r="L775" s="2" t="str">
        <x:v>심혈관</x:v>
      </x:c>
      <x:c r="M775" s="2" t="str">
        <x:v>수호천사 암/건강보험</x:v>
      </x:c>
      <x:c r="N775" s="2" t="str">
        <x:f>VLOOKUP(M775,'분류기준'!$A$5:$B$8,2,FALSE)</x:f>
        <x:v>암/건강보험</x:v>
      </x:c>
      <x:c r="O775" s="2" t="str">
        <x:v>표적항암약물허가치료 특약</x:v>
      </x:c>
      <x:c r="P775" s="2" t="str">
        <x:f>IF(O775="선택 안함","선택 안함",IF(O775="특약 없음","특약 없음","가입"))</x:f>
        <x:v>가입</x:v>
      </x:c>
      <x:c r="Q775" s="2" t="str">
        <x:f>IF(P775="가입","가입","미가입")</x:f>
        <x:v>가입</x:v>
      </x:c>
    </x:row>
    <x:row r="776" ht="23" customHeight="1">
      <x:c r="A776" s="2" t="str">
        <x:v>C0654</x:v>
      </x:c>
      <x:c r="B776" s="7" t="n">
        <x:v>54</x:v>
      </x:c>
      <x:c r="C776" s="2" t="str">
        <x:f>INT(B776/10)*10&amp;"대"</x:f>
        <x:v>50대</x:v>
      </x:c>
      <x:c r="D776" s="2" t="str">
        <x:v>여성</x:v>
      </x:c>
      <x:c r="E776" s="7" t="n">
        <x:v>7500</x:v>
      </x:c>
      <x:c r="F776" s="7" t="n">
        <x:v>3</x:v>
      </x:c>
      <x:c r="G776" s="2" t="str">
        <x:v>기혼</x:v>
      </x:c>
      <x:c r="H776" s="7" t="n">
        <x:v>1</x:v>
      </x:c>
      <x:c r="I776" s="2" t="str">
        <x:f>IF(H776&lt;3,H776&amp;"명","3명 이상")</x:f>
        <x:v>1명</x:v>
      </x:c>
      <x:c r="J776" s="2" t="str">
        <x:v>비흡연</x:v>
      </x:c>
      <x:c r="K776" s="2" t="str">
        <x:v>없음</x:v>
      </x:c>
      <x:c r="L776" s="2" t="str">
        <x:v>없음</x:v>
      </x:c>
      <x:c r="M776" s="2" t="str">
        <x:v>수호천사 암/건강보험</x:v>
      </x:c>
      <x:c r="N776" s="2" t="str">
        <x:f>VLOOKUP(M776,'분류기준'!$A$5:$B$8,2,FALSE)</x:f>
        <x:v>암/건강보험</x:v>
      </x:c>
      <x:c r="O776" s="2" t="str">
        <x:v>표적항암약물허가치료 특약</x:v>
      </x:c>
      <x:c r="P776" s="2" t="str">
        <x:f>IF(O776="선택 안함","선택 안함",IF(O776="특약 없음","특약 없음","가입"))</x:f>
        <x:v>가입</x:v>
      </x:c>
      <x:c r="Q776" s="2" t="str">
        <x:f>IF(P776="가입","가입","미가입")</x:f>
        <x:v>가입</x:v>
      </x:c>
    </x:row>
    <x:row r="777" ht="23" customHeight="1">
      <x:c r="A777" s="2" t="str">
        <x:v>C0696</x:v>
      </x:c>
      <x:c r="B777" s="7" t="n">
        <x:v>54</x:v>
      </x:c>
      <x:c r="C777" s="2" t="str">
        <x:f>INT(B777/10)*10&amp;"대"</x:f>
        <x:v>50대</x:v>
      </x:c>
      <x:c r="D777" s="2" t="str">
        <x:v>남성</x:v>
      </x:c>
      <x:c r="E777" s="7" t="n">
        <x:v>9000</x:v>
      </x:c>
      <x:c r="F777" s="7" t="n">
        <x:v>1</x:v>
      </x:c>
      <x:c r="G777" s="2" t="str">
        <x:v>미혼</x:v>
      </x:c>
      <x:c r="H777" s="7" t="n">
        <x:v>0</x:v>
      </x:c>
      <x:c r="I777" s="2" t="str">
        <x:f>IF(H777&lt;3,H777&amp;"명","3명 이상")</x:f>
        <x:v>0명</x:v>
      </x:c>
      <x:c r="J777" s="2" t="str">
        <x:v>비흡연</x:v>
      </x:c>
      <x:c r="K777" s="2" t="str">
        <x:v>고혈압</x:v>
      </x:c>
      <x:c r="L777" s="2" t="str">
        <x:v>없음</x:v>
      </x:c>
      <x:c r="M777" s="2" t="str">
        <x:v>수호천사 간편심사(유병자)보험</x:v>
      </x:c>
      <x:c r="N777" s="2" t="str">
        <x:f>VLOOKUP(M777,'분류기준'!$A$5:$B$8,2,FALSE)</x:f>
        <x:v>간편심사보험</x:v>
      </x:c>
      <x:c r="O777" s="2" t="str">
        <x:v>중증질환 산정특례 보장 특약</x:v>
      </x:c>
      <x:c r="P777" s="2" t="str">
        <x:f>IF(O777="선택 안함","선택 안함",IF(O777="특약 없음","특약 없음","가입"))</x:f>
        <x:v>가입</x:v>
      </x:c>
      <x:c r="Q777" s="2" t="str">
        <x:f>IF(P777="가입","가입","미가입")</x:f>
        <x:v>가입</x:v>
      </x:c>
    </x:row>
    <x:row r="778" ht="23" customHeight="1">
      <x:c r="A778" s="2" t="str">
        <x:v>C0720</x:v>
      </x:c>
      <x:c r="B778" s="7" t="n">
        <x:v>54</x:v>
      </x:c>
      <x:c r="C778" s="2" t="str">
        <x:f>INT(B778/10)*10&amp;"대"</x:f>
        <x:v>50대</x:v>
      </x:c>
      <x:c r="D778" s="2" t="str">
        <x:v>남성</x:v>
      </x:c>
      <x:c r="E778" s="7" t="n">
        <x:v>4000</x:v>
      </x:c>
      <x:c r="F778" s="7" t="n">
        <x:v>1</x:v>
      </x:c>
      <x:c r="G778" s="2" t="str">
        <x:v>기혼</x:v>
      </x:c>
      <x:c r="H778" s="7" t="n">
        <x:v>1</x:v>
      </x:c>
      <x:c r="I778" s="2" t="str">
        <x:f>IF(H778&lt;3,H778&amp;"명","3명 이상")</x:f>
        <x:v>1명</x:v>
      </x:c>
      <x:c r="J778" s="2" t="str">
        <x:v>비흡연</x:v>
      </x:c>
      <x:c r="K778" s="2" t="str">
        <x:v>당뇨</x:v>
      </x:c>
      <x:c r="L778" s="2" t="str">
        <x:v>없음</x:v>
      </x:c>
      <x:c r="M778" s="2" t="str">
        <x:v>수호천사 간편심사(유병자)보험</x:v>
      </x:c>
      <x:c r="N778" s="2" t="str">
        <x:f>VLOOKUP(M778,'분류기준'!$A$5:$B$8,2,FALSE)</x:f>
        <x:v>간편심사보험</x:v>
      </x:c>
      <x:c r="O778" s="2" t="str">
        <x:v>중증질환 산정특례 보장 특약</x:v>
      </x:c>
      <x:c r="P778" s="2" t="str">
        <x:f>IF(O778="선택 안함","선택 안함",IF(O778="특약 없음","특약 없음","가입"))</x:f>
        <x:v>가입</x:v>
      </x:c>
      <x:c r="Q778" s="2" t="str">
        <x:f>IF(P778="가입","가입","미가입")</x:f>
        <x:v>가입</x:v>
      </x:c>
    </x:row>
    <x:row r="779" ht="23" customHeight="1">
      <x:c r="A779" s="2" t="str">
        <x:v>C0851</x:v>
      </x:c>
      <x:c r="B779" s="7" t="n">
        <x:v>54</x:v>
      </x:c>
      <x:c r="C779" s="2" t="str">
        <x:f>INT(B779/10)*10&amp;"대"</x:f>
        <x:v>50대</x:v>
      </x:c>
      <x:c r="D779" s="2" t="str">
        <x:v>남성</x:v>
      </x:c>
      <x:c r="E779" s="7" t="n">
        <x:v>7500</x:v>
      </x:c>
      <x:c r="F779" s="7" t="n">
        <x:v>2</x:v>
      </x:c>
      <x:c r="G779" s="2" t="str">
        <x:v>미혼</x:v>
      </x:c>
      <x:c r="H779" s="7" t="n">
        <x:v>0</x:v>
      </x:c>
      <x:c r="I779" s="2" t="str">
        <x:f>IF(H779&lt;3,H779&amp;"명","3명 이상")</x:f>
        <x:v>0명</x:v>
      </x:c>
      <x:c r="J779" s="2" t="str">
        <x:v>비흡연</x:v>
      </x:c>
      <x:c r="K779" s="2" t="str">
        <x:v>당뇨</x:v>
      </x:c>
      <x:c r="L779" s="2" t="str">
        <x:v>암</x:v>
      </x:c>
      <x:c r="M779" s="2" t="str">
        <x:v>수호천사 행복 연금보험</x:v>
      </x:c>
      <x:c r="N779" s="2" t="str">
        <x:f>VLOOKUP(M779,'분류기준'!$A$5:$B$8,2,FALSE)</x:f>
        <x:v>연금보험</x:v>
      </x:c>
      <x:c r="O779" s="2" t="str">
        <x:v>특약 없음</x:v>
      </x:c>
      <x:c r="P779" s="2" t="str">
        <x:f>IF(O779="선택 안함","선택 안함",IF(O779="특약 없음","특약 없음","가입"))</x:f>
        <x:v>특약 없음</x:v>
      </x:c>
      <x:c r="Q779" s="2" t="str">
        <x:f>IF(P779="가입","가입","미가입")</x:f>
        <x:v>미가입</x:v>
      </x:c>
    </x:row>
    <x:row r="780" ht="23" customHeight="1">
      <x:c r="A780" s="2" t="str">
        <x:v>C0872</x:v>
      </x:c>
      <x:c r="B780" s="7" t="n">
        <x:v>54</x:v>
      </x:c>
      <x:c r="C780" s="2" t="str">
        <x:f>INT(B780/10)*10&amp;"대"</x:f>
        <x:v>50대</x:v>
      </x:c>
      <x:c r="D780" s="2" t="str">
        <x:v>남성</x:v>
      </x:c>
      <x:c r="E780" s="7" t="n">
        <x:v>9000</x:v>
      </x:c>
      <x:c r="F780" s="7" t="n">
        <x:v>2</x:v>
      </x:c>
      <x:c r="G780" s="2" t="str">
        <x:v>미혼</x:v>
      </x:c>
      <x:c r="H780" s="7" t="n">
        <x:v>0</x:v>
      </x:c>
      <x:c r="I780" s="2" t="str">
        <x:f>IF(H780&lt;3,H780&amp;"명","3명 이상")</x:f>
        <x:v>0명</x:v>
      </x:c>
      <x:c r="J780" s="2" t="str">
        <x:v>비흡연</x:v>
      </x:c>
      <x:c r="K780" s="2" t="str">
        <x:v>없음</x:v>
      </x:c>
      <x:c r="L780" s="2" t="str">
        <x:v>심혈관</x:v>
      </x:c>
      <x:c r="M780" s="2" t="str">
        <x:v>수호천사 행복 연금보험</x:v>
      </x:c>
      <x:c r="N780" s="2" t="str">
        <x:f>VLOOKUP(M780,'분류기준'!$A$5:$B$8,2,FALSE)</x:f>
        <x:v>연금보험</x:v>
      </x:c>
      <x:c r="O780" s="2" t="str">
        <x:v>특약 없음</x:v>
      </x:c>
      <x:c r="P780" s="2" t="str">
        <x:f>IF(O780="선택 안함","선택 안함",IF(O780="특약 없음","특약 없음","가입"))</x:f>
        <x:v>특약 없음</x:v>
      </x:c>
      <x:c r="Q780" s="2" t="str">
        <x:f>IF(P780="가입","가입","미가입")</x:f>
        <x:v>미가입</x:v>
      </x:c>
    </x:row>
    <x:row r="781" ht="23" customHeight="1">
      <x:c r="A781" s="2" t="str">
        <x:v>C0987</x:v>
      </x:c>
      <x:c r="B781" s="7" t="n">
        <x:v>54</x:v>
      </x:c>
      <x:c r="C781" s="2" t="str">
        <x:f>INT(B781/10)*10&amp;"대"</x:f>
        <x:v>50대</x:v>
      </x:c>
      <x:c r="D781" s="2" t="str">
        <x:v>남성</x:v>
      </x:c>
      <x:c r="E781" s="7" t="n">
        <x:v>4000</x:v>
      </x:c>
      <x:c r="F781" s="7" t="n">
        <x:v>1</x:v>
      </x:c>
      <x:c r="G781" s="2" t="str">
        <x:v>기혼</x:v>
      </x:c>
      <x:c r="H781" s="7" t="n">
        <x:v>0</x:v>
      </x:c>
      <x:c r="I781" s="2" t="str">
        <x:f>IF(H781&lt;3,H781&amp;"명","3명 이상")</x:f>
        <x:v>0명</x:v>
      </x:c>
      <x:c r="J781" s="2" t="str">
        <x:v>비흡연</x:v>
      </x:c>
      <x:c r="K781" s="2" t="str">
        <x:v>없음</x:v>
      </x:c>
      <x:c r="L781" s="2" t="str">
        <x:v>없음</x:v>
      </x:c>
      <x:c r="M781" s="2" t="str">
        <x:v>수호천사 간편심사(유병자)보험</x:v>
      </x:c>
      <x:c r="N781" s="2" t="str">
        <x:f>VLOOKUP(M781,'분류기준'!$A$5:$B$8,2,FALSE)</x:f>
        <x:v>간편심사보험</x:v>
      </x:c>
      <x:c r="O781" s="2" t="str">
        <x:v>중증질환 산정특례 보장 특약</x:v>
      </x:c>
      <x:c r="P781" s="2" t="str">
        <x:f>IF(O781="선택 안함","선택 안함",IF(O781="특약 없음","특약 없음","가입"))</x:f>
        <x:v>가입</x:v>
      </x:c>
      <x:c r="Q781" s="2" t="str">
        <x:f>IF(P781="가입","가입","미가입")</x:f>
        <x:v>가입</x:v>
      </x:c>
    </x:row>
    <x:row r="782" ht="23" customHeight="1">
      <x:c r="A782" s="2" t="str">
        <x:v>C0997</x:v>
      </x:c>
      <x:c r="B782" s="7" t="n">
        <x:v>54</x:v>
      </x:c>
      <x:c r="C782" s="2" t="str">
        <x:f>INT(B782/10)*10&amp;"대"</x:f>
        <x:v>50대</x:v>
      </x:c>
      <x:c r="D782" s="2" t="str">
        <x:v>남성</x:v>
      </x:c>
      <x:c r="E782" s="7" t="n">
        <x:v>5000</x:v>
      </x:c>
      <x:c r="F782" s="7" t="n">
        <x:v>1</x:v>
      </x:c>
      <x:c r="G782" s="2" t="str">
        <x:v>기혼</x:v>
      </x:c>
      <x:c r="H782" s="7" t="n">
        <x:v>2</x:v>
      </x:c>
      <x:c r="I782" s="2" t="str">
        <x:f>IF(H782&lt;3,H782&amp;"명","3명 이상")</x:f>
        <x:v>2명</x:v>
      </x:c>
      <x:c r="J782" s="2" t="str">
        <x:v>비흡연</x:v>
      </x:c>
      <x:c r="K782" s="2" t="str">
        <x:v>없음</x:v>
      </x:c>
      <x:c r="L782" s="2" t="str">
        <x:v>암</x:v>
      </x:c>
      <x:c r="M782" s="2" t="str">
        <x:v>수호천사 암/건강보험</x:v>
      </x:c>
      <x:c r="N782" s="2" t="str">
        <x:f>VLOOKUP(M782,'분류기준'!$A$5:$B$8,2,FALSE)</x:f>
        <x:v>암/건강보험</x:v>
      </x:c>
      <x:c r="O782" s="2" t="str">
        <x:v>표적항암약물허가치료 특약</x:v>
      </x:c>
      <x:c r="P782" s="2" t="str">
        <x:f>IF(O782="선택 안함","선택 안함",IF(O782="특약 없음","특약 없음","가입"))</x:f>
        <x:v>가입</x:v>
      </x:c>
      <x:c r="Q782" s="2" t="str">
        <x:f>IF(P782="가입","가입","미가입")</x:f>
        <x:v>가입</x:v>
      </x:c>
    </x:row>
    <x:row r="783" ht="23" customHeight="1">
      <x:c r="A783" s="2" t="str">
        <x:v>C0998</x:v>
      </x:c>
      <x:c r="B783" s="7" t="n">
        <x:v>54</x:v>
      </x:c>
      <x:c r="C783" s="2" t="str">
        <x:f>INT(B783/10)*10&amp;"대"</x:f>
        <x:v>50대</x:v>
      </x:c>
      <x:c r="D783" s="2" t="str">
        <x:v>남성</x:v>
      </x:c>
      <x:c r="E783" s="7" t="n">
        <x:v>7500</x:v>
      </x:c>
      <x:c r="F783" s="7" t="n">
        <x:v>3</x:v>
      </x:c>
      <x:c r="G783" s="2" t="str">
        <x:v>기혼</x:v>
      </x:c>
      <x:c r="H783" s="7" t="n">
        <x:v>0</x:v>
      </x:c>
      <x:c r="I783" s="2" t="str">
        <x:f>IF(H783&lt;3,H783&amp;"명","3명 이상")</x:f>
        <x:v>0명</x:v>
      </x:c>
      <x:c r="J783" s="2" t="str">
        <x:v>흡연</x:v>
      </x:c>
      <x:c r="K783" s="2" t="str">
        <x:v>고혈압</x:v>
      </x:c>
      <x:c r="L783" s="2" t="str">
        <x:v>없음</x:v>
      </x:c>
      <x:c r="M783" s="2" t="str">
        <x:v>수호천사 간편심사(유병자)보험</x:v>
      </x:c>
      <x:c r="N783" s="2" t="str">
        <x:f>VLOOKUP(M783,'분류기준'!$A$5:$B$8,2,FALSE)</x:f>
        <x:v>간편심사보험</x:v>
      </x:c>
      <x:c r="O783" s="2" t="str">
        <x:v>선택 안함</x:v>
      </x:c>
      <x:c r="P783" s="2" t="str">
        <x:f>IF(O783="선택 안함","선택 안함",IF(O783="특약 없음","특약 없음","가입"))</x:f>
        <x:v>선택 안함</x:v>
      </x:c>
      <x:c r="Q783" s="2" t="str">
        <x:f>IF(P783="가입","가입","미가입")</x:f>
        <x:v>미가입</x:v>
      </x:c>
    </x:row>
    <x:row r="784" ht="23" customHeight="1">
      <x:c r="A784" s="2" t="str">
        <x:v>C0013</x:v>
      </x:c>
      <x:c r="B784" s="7" t="n">
        <x:v>55</x:v>
      </x:c>
      <x:c r="C784" s="2" t="str">
        <x:f>INT(B784/10)*10&amp;"대"</x:f>
        <x:v>50대</x:v>
      </x:c>
      <x:c r="D784" s="2" t="str">
        <x:v>여성</x:v>
      </x:c>
      <x:c r="E784" s="7" t="n">
        <x:v>4000</x:v>
      </x:c>
      <x:c r="F784" s="7" t="n">
        <x:v>1</x:v>
      </x:c>
      <x:c r="G784" s="2" t="str">
        <x:v>기혼</x:v>
      </x:c>
      <x:c r="H784" s="7" t="n">
        <x:v>2</x:v>
      </x:c>
      <x:c r="I784" s="2" t="str">
        <x:f>IF(H784&lt;3,H784&amp;"명","3명 이상")</x:f>
        <x:v>2명</x:v>
      </x:c>
      <x:c r="J784" s="2" t="str">
        <x:v>비흡연</x:v>
      </x:c>
      <x:c r="K784" s="2" t="str">
        <x:v>고혈압</x:v>
      </x:c>
      <x:c r="L784" s="2" t="str">
        <x:v>심혈관</x:v>
      </x:c>
      <x:c r="M784" s="2" t="str">
        <x:v>수호천사 간편심사(유병자)보험</x:v>
      </x:c>
      <x:c r="N784" s="2" t="str">
        <x:f>VLOOKUP(M784,'분류기준'!$A$5:$B$8,2,FALSE)</x:f>
        <x:v>간편심사보험</x:v>
      </x:c>
      <x:c r="O784" s="2" t="str">
        <x:v>중증질환 산정특례 보장 특약</x:v>
      </x:c>
      <x:c r="P784" s="2" t="str">
        <x:f>IF(O784="선택 안함","선택 안함",IF(O784="특약 없음","특약 없음","가입"))</x:f>
        <x:v>가입</x:v>
      </x:c>
      <x:c r="Q784" s="2" t="str">
        <x:f>IF(P784="가입","가입","미가입")</x:f>
        <x:v>가입</x:v>
      </x:c>
    </x:row>
    <x:row r="785" ht="23" customHeight="1">
      <x:c r="A785" s="2" t="str">
        <x:v>C0057</x:v>
      </x:c>
      <x:c r="B785" s="7" t="n">
        <x:v>55</x:v>
      </x:c>
      <x:c r="C785" s="2" t="str">
        <x:f>INT(B785/10)*10&amp;"대"</x:f>
        <x:v>50대</x:v>
      </x:c>
      <x:c r="D785" s="2" t="str">
        <x:v>여성</x:v>
      </x:c>
      <x:c r="E785" s="7" t="n">
        <x:v>9000</x:v>
      </x:c>
      <x:c r="F785" s="7" t="n">
        <x:v>2</x:v>
      </x:c>
      <x:c r="G785" s="2" t="str">
        <x:v>기혼</x:v>
      </x:c>
      <x:c r="H785" s="7" t="n">
        <x:v>1</x:v>
      </x:c>
      <x:c r="I785" s="2" t="str">
        <x:f>IF(H785&lt;3,H785&amp;"명","3명 이상")</x:f>
        <x:v>1명</x:v>
      </x:c>
      <x:c r="J785" s="2" t="str">
        <x:v>비흡연</x:v>
      </x:c>
      <x:c r="K785" s="2" t="str">
        <x:v>고혈압</x:v>
      </x:c>
      <x:c r="L785" s="2" t="str">
        <x:v>암</x:v>
      </x:c>
      <x:c r="M785" s="2" t="str">
        <x:v>수호천사 암/건강보험</x:v>
      </x:c>
      <x:c r="N785" s="2" t="str">
        <x:f>VLOOKUP(M785,'분류기준'!$A$5:$B$8,2,FALSE)</x:f>
        <x:v>암/건강보험</x:v>
      </x:c>
      <x:c r="O785" s="2" t="str">
        <x:v>표적항암약물허가치료 특약</x:v>
      </x:c>
      <x:c r="P785" s="2" t="str">
        <x:f>IF(O785="선택 안함","선택 안함",IF(O785="특약 없음","특약 없음","가입"))</x:f>
        <x:v>가입</x:v>
      </x:c>
      <x:c r="Q785" s="2" t="str">
        <x:f>IF(P785="가입","가입","미가입")</x:f>
        <x:v>가입</x:v>
      </x:c>
    </x:row>
    <x:row r="786" ht="23" customHeight="1">
      <x:c r="A786" s="2" t="str">
        <x:v>C0070</x:v>
      </x:c>
      <x:c r="B786" s="7" t="n">
        <x:v>55</x:v>
      </x:c>
      <x:c r="C786" s="2" t="str">
        <x:f>INT(B786/10)*10&amp;"대"</x:f>
        <x:v>50대</x:v>
      </x:c>
      <x:c r="D786" s="2" t="str">
        <x:v>남성</x:v>
      </x:c>
      <x:c r="E786" s="7" t="n">
        <x:v>4000</x:v>
      </x:c>
      <x:c r="F786" s="7" t="n">
        <x:v>1</x:v>
      </x:c>
      <x:c r="G786" s="2" t="str">
        <x:v>기혼</x:v>
      </x:c>
      <x:c r="H786" s="7" t="n">
        <x:v>0</x:v>
      </x:c>
      <x:c r="I786" s="2" t="str">
        <x:f>IF(H786&lt;3,H786&amp;"명","3명 이상")</x:f>
        <x:v>0명</x:v>
      </x:c>
      <x:c r="J786" s="2" t="str">
        <x:v>비흡연</x:v>
      </x:c>
      <x:c r="K786" s="2" t="str">
        <x:v>없음</x:v>
      </x:c>
      <x:c r="L786" s="2" t="str">
        <x:v>없음</x:v>
      </x:c>
      <x:c r="M786" s="2" t="str">
        <x:v>수호천사 행복 연금보험</x:v>
      </x:c>
      <x:c r="N786" s="2" t="str">
        <x:f>VLOOKUP(M786,'분류기준'!$A$5:$B$8,2,FALSE)</x:f>
        <x:v>연금보험</x:v>
      </x:c>
      <x:c r="O786" s="2" t="str">
        <x:v>특약 없음</x:v>
      </x:c>
      <x:c r="P786" s="2" t="str">
        <x:f>IF(O786="선택 안함","선택 안함",IF(O786="특약 없음","특약 없음","가입"))</x:f>
        <x:v>특약 없음</x:v>
      </x:c>
      <x:c r="Q786" s="2" t="str">
        <x:f>IF(P786="가입","가입","미가입")</x:f>
        <x:v>미가입</x:v>
      </x:c>
    </x:row>
    <x:row r="787" ht="23" customHeight="1">
      <x:c r="A787" s="2" t="str">
        <x:v>C0154</x:v>
      </x:c>
      <x:c r="B787" s="7" t="n">
        <x:v>55</x:v>
      </x:c>
      <x:c r="C787" s="2" t="str">
        <x:f>INT(B787/10)*10&amp;"대"</x:f>
        <x:v>50대</x:v>
      </x:c>
      <x:c r="D787" s="2" t="str">
        <x:v>여성</x:v>
      </x:c>
      <x:c r="E787" s="7" t="n">
        <x:v>6000</x:v>
      </x:c>
      <x:c r="F787" s="7" t="n">
        <x:v>1</x:v>
      </x:c>
      <x:c r="G787" s="2" t="str">
        <x:v>미혼</x:v>
      </x:c>
      <x:c r="H787" s="7" t="n">
        <x:v>0</x:v>
      </x:c>
      <x:c r="I787" s="2" t="str">
        <x:f>IF(H787&lt;3,H787&amp;"명","3명 이상")</x:f>
        <x:v>0명</x:v>
      </x:c>
      <x:c r="J787" s="2" t="str">
        <x:v>비흡연</x:v>
      </x:c>
      <x:c r="K787" s="2" t="str">
        <x:v>없음</x:v>
      </x:c>
      <x:c r="L787" s="2" t="str">
        <x:v>암</x:v>
      </x:c>
      <x:c r="M787" s="2" t="str">
        <x:v>수호천사 행복 연금보험</x:v>
      </x:c>
      <x:c r="N787" s="2" t="str">
        <x:f>VLOOKUP(M787,'분류기준'!$A$5:$B$8,2,FALSE)</x:f>
        <x:v>연금보험</x:v>
      </x:c>
      <x:c r="O787" s="2" t="str">
        <x:v>특약 없음</x:v>
      </x:c>
      <x:c r="P787" s="2" t="str">
        <x:f>IF(O787="선택 안함","선택 안함",IF(O787="특약 없음","특약 없음","가입"))</x:f>
        <x:v>특약 없음</x:v>
      </x:c>
      <x:c r="Q787" s="2" t="str">
        <x:f>IF(P787="가입","가입","미가입")</x:f>
        <x:v>미가입</x:v>
      </x:c>
    </x:row>
    <x:row r="788" ht="23" customHeight="1">
      <x:c r="A788" s="2" t="str">
        <x:v>C0234</x:v>
      </x:c>
      <x:c r="B788" s="7" t="n">
        <x:v>55</x:v>
      </x:c>
      <x:c r="C788" s="2" t="str">
        <x:f>INT(B788/10)*10&amp;"대"</x:f>
        <x:v>50대</x:v>
      </x:c>
      <x:c r="D788" s="2" t="str">
        <x:v>남성</x:v>
      </x:c>
      <x:c r="E788" s="7" t="n">
        <x:v>3000</x:v>
      </x:c>
      <x:c r="F788" s="7" t="n">
        <x:v>2</x:v>
      </x:c>
      <x:c r="G788" s="2" t="str">
        <x:v>기혼</x:v>
      </x:c>
      <x:c r="H788" s="7" t="n">
        <x:v>1</x:v>
      </x:c>
      <x:c r="I788" s="2" t="str">
        <x:f>IF(H788&lt;3,H788&amp;"명","3명 이상")</x:f>
        <x:v>1명</x:v>
      </x:c>
      <x:c r="J788" s="2" t="str">
        <x:v>비흡연</x:v>
      </x:c>
      <x:c r="K788" s="2" t="str">
        <x:v>없음</x:v>
      </x:c>
      <x:c r="L788" s="2" t="str">
        <x:v>없음</x:v>
      </x:c>
      <x:c r="M788" s="2" t="str">
        <x:v>수호천사 간편심사(유병자)보험</x:v>
      </x:c>
      <x:c r="N788" s="2" t="str">
        <x:f>VLOOKUP(M788,'분류기준'!$A$5:$B$8,2,FALSE)</x:f>
        <x:v>간편심사보험</x:v>
      </x:c>
      <x:c r="O788" s="2" t="str">
        <x:v>중증질환 산정특례 보장 특약</x:v>
      </x:c>
      <x:c r="P788" s="2" t="str">
        <x:f>IF(O788="선택 안함","선택 안함",IF(O788="특약 없음","특약 없음","가입"))</x:f>
        <x:v>가입</x:v>
      </x:c>
      <x:c r="Q788" s="2" t="str">
        <x:f>IF(P788="가입","가입","미가입")</x:f>
        <x:v>가입</x:v>
      </x:c>
    </x:row>
    <x:row r="789" ht="23" customHeight="1">
      <x:c r="A789" s="2" t="str">
        <x:v>C0278</x:v>
      </x:c>
      <x:c r="B789" s="7" t="n">
        <x:v>55</x:v>
      </x:c>
      <x:c r="C789" s="2" t="str">
        <x:f>INT(B789/10)*10&amp;"대"</x:f>
        <x:v>50대</x:v>
      </x:c>
      <x:c r="D789" s="2" t="str">
        <x:v>남성</x:v>
      </x:c>
      <x:c r="E789" s="7" t="n">
        <x:v>4000</x:v>
      </x:c>
      <x:c r="F789" s="7" t="n">
        <x:v>1</x:v>
      </x:c>
      <x:c r="G789" s="2" t="str">
        <x:v>기혼</x:v>
      </x:c>
      <x:c r="H789" s="7" t="n">
        <x:v>1</x:v>
      </x:c>
      <x:c r="I789" s="2" t="str">
        <x:f>IF(H789&lt;3,H789&amp;"명","3명 이상")</x:f>
        <x:v>1명</x:v>
      </x:c>
      <x:c r="J789" s="2" t="str">
        <x:v>비흡연</x:v>
      </x:c>
      <x:c r="K789" s="2" t="str">
        <x:v>없음</x:v>
      </x:c>
      <x:c r="L789" s="2" t="str">
        <x:v>암</x:v>
      </x:c>
      <x:c r="M789" s="2" t="str">
        <x:v>수호천사 암/건강보험</x:v>
      </x:c>
      <x:c r="N789" s="2" t="str">
        <x:f>VLOOKUP(M789,'분류기준'!$A$5:$B$8,2,FALSE)</x:f>
        <x:v>암/건강보험</x:v>
      </x:c>
      <x:c r="O789" s="2" t="str">
        <x:v>표적항암약물허가치료 특약</x:v>
      </x:c>
      <x:c r="P789" s="2" t="str">
        <x:f>IF(O789="선택 안함","선택 안함",IF(O789="특약 없음","특약 없음","가입"))</x:f>
        <x:v>가입</x:v>
      </x:c>
      <x:c r="Q789" s="2" t="str">
        <x:f>IF(P789="가입","가입","미가입")</x:f>
        <x:v>가입</x:v>
      </x:c>
    </x:row>
    <x:row r="790" ht="23" customHeight="1">
      <x:c r="A790" s="2" t="str">
        <x:v>C0294</x:v>
      </x:c>
      <x:c r="B790" s="7" t="n">
        <x:v>55</x:v>
      </x:c>
      <x:c r="C790" s="2" t="str">
        <x:f>INT(B790/10)*10&amp;"대"</x:f>
        <x:v>50대</x:v>
      </x:c>
      <x:c r="D790" s="2" t="str">
        <x:v>여성</x:v>
      </x:c>
      <x:c r="E790" s="7" t="n">
        <x:v>3000</x:v>
      </x:c>
      <x:c r="F790" s="7" t="n">
        <x:v>2</x:v>
      </x:c>
      <x:c r="G790" s="2" t="str">
        <x:v>기혼</x:v>
      </x:c>
      <x:c r="H790" s="7" t="n">
        <x:v>1</x:v>
      </x:c>
      <x:c r="I790" s="2" t="str">
        <x:f>IF(H790&lt;3,H790&amp;"명","3명 이상")</x:f>
        <x:v>1명</x:v>
      </x:c>
      <x:c r="J790" s="2" t="str">
        <x:v>비흡연</x:v>
      </x:c>
      <x:c r="K790" s="2" t="str">
        <x:v>당뇨</x:v>
      </x:c>
      <x:c r="L790" s="2" t="str">
        <x:v>없음</x:v>
      </x:c>
      <x:c r="M790" s="2" t="str">
        <x:v>수호천사 간편심사(유병자)보험</x:v>
      </x:c>
      <x:c r="N790" s="2" t="str">
        <x:f>VLOOKUP(M790,'분류기준'!$A$5:$B$8,2,FALSE)</x:f>
        <x:v>간편심사보험</x:v>
      </x:c>
      <x:c r="O790" s="2" t="str">
        <x:v>중증질환 산정특례 보장 특약</x:v>
      </x:c>
      <x:c r="P790" s="2" t="str">
        <x:f>IF(O790="선택 안함","선택 안함",IF(O790="특약 없음","특약 없음","가입"))</x:f>
        <x:v>가입</x:v>
      </x:c>
      <x:c r="Q790" s="2" t="str">
        <x:f>IF(P790="가입","가입","미가입")</x:f>
        <x:v>가입</x:v>
      </x:c>
    </x:row>
    <x:row r="791" ht="23" customHeight="1">
      <x:c r="A791" s="2" t="str">
        <x:v>C0378</x:v>
      </x:c>
      <x:c r="B791" s="7" t="n">
        <x:v>55</x:v>
      </x:c>
      <x:c r="C791" s="2" t="str">
        <x:f>INT(B791/10)*10&amp;"대"</x:f>
        <x:v>50대</x:v>
      </x:c>
      <x:c r="D791" s="2" t="str">
        <x:v>여성</x:v>
      </x:c>
      <x:c r="E791" s="7" t="n">
        <x:v>7500</x:v>
      </x:c>
      <x:c r="F791" s="7" t="n">
        <x:v>2</x:v>
      </x:c>
      <x:c r="G791" s="2" t="str">
        <x:v>기혼</x:v>
      </x:c>
      <x:c r="H791" s="7" t="n">
        <x:v>0</x:v>
      </x:c>
      <x:c r="I791" s="2" t="str">
        <x:f>IF(H791&lt;3,H791&amp;"명","3명 이상")</x:f>
        <x:v>0명</x:v>
      </x:c>
      <x:c r="J791" s="2" t="str">
        <x:v>흡연</x:v>
      </x:c>
      <x:c r="K791" s="2" t="str">
        <x:v>당뇨</x:v>
      </x:c>
      <x:c r="L791" s="2" t="str">
        <x:v>심혈관</x:v>
      </x:c>
      <x:c r="M791" s="2" t="str">
        <x:v>수호천사 행복 연금보험</x:v>
      </x:c>
      <x:c r="N791" s="2" t="str">
        <x:f>VLOOKUP(M791,'분류기준'!$A$5:$B$8,2,FALSE)</x:f>
        <x:v>연금보험</x:v>
      </x:c>
      <x:c r="O791" s="2" t="str">
        <x:v>특약 없음</x:v>
      </x:c>
      <x:c r="P791" s="2" t="str">
        <x:f>IF(O791="선택 안함","선택 안함",IF(O791="특약 없음","특약 없음","가입"))</x:f>
        <x:v>특약 없음</x:v>
      </x:c>
      <x:c r="Q791" s="2" t="str">
        <x:f>IF(P791="가입","가입","미가입")</x:f>
        <x:v>미가입</x:v>
      </x:c>
    </x:row>
    <x:row r="792" ht="23" customHeight="1">
      <x:c r="A792" s="2" t="str">
        <x:v>C0462</x:v>
      </x:c>
      <x:c r="B792" s="7" t="n">
        <x:v>55</x:v>
      </x:c>
      <x:c r="C792" s="2" t="str">
        <x:f>INT(B792/10)*10&amp;"대"</x:f>
        <x:v>50대</x:v>
      </x:c>
      <x:c r="D792" s="2" t="str">
        <x:v>여성</x:v>
      </x:c>
      <x:c r="E792" s="7" t="n">
        <x:v>6000</x:v>
      </x:c>
      <x:c r="F792" s="7" t="n">
        <x:v>1</x:v>
      </x:c>
      <x:c r="G792" s="2" t="str">
        <x:v>기혼</x:v>
      </x:c>
      <x:c r="H792" s="7" t="n">
        <x:v>1</x:v>
      </x:c>
      <x:c r="I792" s="2" t="str">
        <x:f>IF(H792&lt;3,H792&amp;"명","3명 이상")</x:f>
        <x:v>1명</x:v>
      </x:c>
      <x:c r="J792" s="2" t="str">
        <x:v>비흡연</x:v>
      </x:c>
      <x:c r="K792" s="2" t="str">
        <x:v>없음</x:v>
      </x:c>
      <x:c r="L792" s="2" t="str">
        <x:v>없음</x:v>
      </x:c>
      <x:c r="M792" s="2" t="str">
        <x:v>수호천사 우리가족 종신보험</x:v>
      </x:c>
      <x:c r="N792" s="2" t="str">
        <x:f>VLOOKUP(M792,'분류기준'!$A$5:$B$8,2,FALSE)</x:f>
        <x:v>종신보험</x:v>
      </x:c>
      <x:c r="O792" s="2" t="str">
        <x:v>가족 수입 보장 특약</x:v>
      </x:c>
      <x:c r="P792" s="2" t="str">
        <x:f>IF(O792="선택 안함","선택 안함",IF(O792="특약 없음","특약 없음","가입"))</x:f>
        <x:v>가입</x:v>
      </x:c>
      <x:c r="Q792" s="2" t="str">
        <x:f>IF(P792="가입","가입","미가입")</x:f>
        <x:v>가입</x:v>
      </x:c>
    </x:row>
    <x:row r="793" ht="23" customHeight="1">
      <x:c r="A793" s="2" t="str">
        <x:v>C0469</x:v>
      </x:c>
      <x:c r="B793" s="7" t="n">
        <x:v>55</x:v>
      </x:c>
      <x:c r="C793" s="2" t="str">
        <x:f>INT(B793/10)*10&amp;"대"</x:f>
        <x:v>50대</x:v>
      </x:c>
      <x:c r="D793" s="2" t="str">
        <x:v>남성</x:v>
      </x:c>
      <x:c r="E793" s="7" t="n">
        <x:v>7500</x:v>
      </x:c>
      <x:c r="F793" s="7" t="n">
        <x:v>2</x:v>
      </x:c>
      <x:c r="G793" s="2" t="str">
        <x:v>미혼</x:v>
      </x:c>
      <x:c r="H793" s="7" t="n">
        <x:v>0</x:v>
      </x:c>
      <x:c r="I793" s="2" t="str">
        <x:f>IF(H793&lt;3,H793&amp;"명","3명 이상")</x:f>
        <x:v>0명</x:v>
      </x:c>
      <x:c r="J793" s="2" t="str">
        <x:v>비흡연</x:v>
      </x:c>
      <x:c r="K793" s="2" t="str">
        <x:v>없음</x:v>
      </x:c>
      <x:c r="L793" s="2" t="str">
        <x:v>없음</x:v>
      </x:c>
      <x:c r="M793" s="2" t="str">
        <x:v>수호천사 간편심사(유병자)보험</x:v>
      </x:c>
      <x:c r="N793" s="2" t="str">
        <x:f>VLOOKUP(M793,'분류기준'!$A$5:$B$8,2,FALSE)</x:f>
        <x:v>간편심사보험</x:v>
      </x:c>
      <x:c r="O793" s="2" t="str">
        <x:v>중증질환 산정특례 보장 특약</x:v>
      </x:c>
      <x:c r="P793" s="2" t="str">
        <x:f>IF(O793="선택 안함","선택 안함",IF(O793="특약 없음","특약 없음","가입"))</x:f>
        <x:v>가입</x:v>
      </x:c>
      <x:c r="Q793" s="2" t="str">
        <x:f>IF(P793="가입","가입","미가입")</x:f>
        <x:v>가입</x:v>
      </x:c>
    </x:row>
    <x:row r="794" ht="23" customHeight="1">
      <x:c r="A794" s="2" t="str">
        <x:v>C0524</x:v>
      </x:c>
      <x:c r="B794" s="7" t="n">
        <x:v>55</x:v>
      </x:c>
      <x:c r="C794" s="2" t="str">
        <x:f>INT(B794/10)*10&amp;"대"</x:f>
        <x:v>50대</x:v>
      </x:c>
      <x:c r="D794" s="2" t="str">
        <x:v>남성</x:v>
      </x:c>
      <x:c r="E794" s="7" t="n">
        <x:v>4000</x:v>
      </x:c>
      <x:c r="F794" s="7" t="n">
        <x:v>1</x:v>
      </x:c>
      <x:c r="G794" s="2" t="str">
        <x:v>기혼</x:v>
      </x:c>
      <x:c r="H794" s="7" t="n">
        <x:v>2</x:v>
      </x:c>
      <x:c r="I794" s="2" t="str">
        <x:f>IF(H794&lt;3,H794&amp;"명","3명 이상")</x:f>
        <x:v>2명</x:v>
      </x:c>
      <x:c r="J794" s="2" t="str">
        <x:v>비흡연</x:v>
      </x:c>
      <x:c r="K794" s="2" t="str">
        <x:v>당뇨</x:v>
      </x:c>
      <x:c r="L794" s="2" t="str">
        <x:v>심혈관</x:v>
      </x:c>
      <x:c r="M794" s="2" t="str">
        <x:v>수호천사 암/건강보험</x:v>
      </x:c>
      <x:c r="N794" s="2" t="str">
        <x:f>VLOOKUP(M794,'분류기준'!$A$5:$B$8,2,FALSE)</x:f>
        <x:v>암/건강보험</x:v>
      </x:c>
      <x:c r="O794" s="2" t="str">
        <x:v>선택 안함</x:v>
      </x:c>
      <x:c r="P794" s="2" t="str">
        <x:f>IF(O794="선택 안함","선택 안함",IF(O794="특약 없음","특약 없음","가입"))</x:f>
        <x:v>선택 안함</x:v>
      </x:c>
      <x:c r="Q794" s="2" t="str">
        <x:f>IF(P794="가입","가입","미가입")</x:f>
        <x:v>미가입</x:v>
      </x:c>
    </x:row>
    <x:row r="795" ht="23" customHeight="1">
      <x:c r="A795" s="2" t="str">
        <x:v>C0527</x:v>
      </x:c>
      <x:c r="B795" s="7" t="n">
        <x:v>55</x:v>
      </x:c>
      <x:c r="C795" s="2" t="str">
        <x:f>INT(B795/10)*10&amp;"대"</x:f>
        <x:v>50대</x:v>
      </x:c>
      <x:c r="D795" s="2" t="str">
        <x:v>남성</x:v>
      </x:c>
      <x:c r="E795" s="7" t="n">
        <x:v>6000</x:v>
      </x:c>
      <x:c r="F795" s="7" t="n">
        <x:v>1</x:v>
      </x:c>
      <x:c r="G795" s="2" t="str">
        <x:v>기혼</x:v>
      </x:c>
      <x:c r="H795" s="7" t="n">
        <x:v>0</x:v>
      </x:c>
      <x:c r="I795" s="2" t="str">
        <x:f>IF(H795&lt;3,H795&amp;"명","3명 이상")</x:f>
        <x:v>0명</x:v>
      </x:c>
      <x:c r="J795" s="2" t="str">
        <x:v>흡연</x:v>
      </x:c>
      <x:c r="K795" s="2" t="str">
        <x:v>고혈압</x:v>
      </x:c>
      <x:c r="L795" s="2" t="str">
        <x:v>심혈관</x:v>
      </x:c>
      <x:c r="M795" s="2" t="str">
        <x:v>수호천사 암/건강보험</x:v>
      </x:c>
      <x:c r="N795" s="2" t="str">
        <x:f>VLOOKUP(M795,'분류기준'!$A$5:$B$8,2,FALSE)</x:f>
        <x:v>암/건강보험</x:v>
      </x:c>
      <x:c r="O795" s="2" t="str">
        <x:v>표적항암약물허가치료 특약</x:v>
      </x:c>
      <x:c r="P795" s="2" t="str">
        <x:f>IF(O795="선택 안함","선택 안함",IF(O795="특약 없음","특약 없음","가입"))</x:f>
        <x:v>가입</x:v>
      </x:c>
      <x:c r="Q795" s="2" t="str">
        <x:f>IF(P795="가입","가입","미가입")</x:f>
        <x:v>가입</x:v>
      </x:c>
    </x:row>
    <x:row r="796" ht="23" customHeight="1">
      <x:c r="A796" s="2" t="str">
        <x:v>C0534</x:v>
      </x:c>
      <x:c r="B796" s="7" t="n">
        <x:v>55</x:v>
      </x:c>
      <x:c r="C796" s="2" t="str">
        <x:f>INT(B796/10)*10&amp;"대"</x:f>
        <x:v>50대</x:v>
      </x:c>
      <x:c r="D796" s="2" t="str">
        <x:v>남성</x:v>
      </x:c>
      <x:c r="E796" s="7" t="n">
        <x:v>6000</x:v>
      </x:c>
      <x:c r="F796" s="7" t="n">
        <x:v>1</x:v>
      </x:c>
      <x:c r="G796" s="2" t="str">
        <x:v>기혼</x:v>
      </x:c>
      <x:c r="H796" s="7" t="n">
        <x:v>2</x:v>
      </x:c>
      <x:c r="I796" s="2" t="str">
        <x:f>IF(H796&lt;3,H796&amp;"명","3명 이상")</x:f>
        <x:v>2명</x:v>
      </x:c>
      <x:c r="J796" s="2" t="str">
        <x:v>비흡연</x:v>
      </x:c>
      <x:c r="K796" s="2" t="str">
        <x:v>없음</x:v>
      </x:c>
      <x:c r="L796" s="2" t="str">
        <x:v>암</x:v>
      </x:c>
      <x:c r="M796" s="2" t="str">
        <x:v>수호천사 암/건강보험</x:v>
      </x:c>
      <x:c r="N796" s="2" t="str">
        <x:f>VLOOKUP(M796,'분류기준'!$A$5:$B$8,2,FALSE)</x:f>
        <x:v>암/건강보험</x:v>
      </x:c>
      <x:c r="O796" s="2" t="str">
        <x:v>표적항암약물허가치료 특약</x:v>
      </x:c>
      <x:c r="P796" s="2" t="str">
        <x:f>IF(O796="선택 안함","선택 안함",IF(O796="특약 없음","특약 없음","가입"))</x:f>
        <x:v>가입</x:v>
      </x:c>
      <x:c r="Q796" s="2" t="str">
        <x:f>IF(P796="가입","가입","미가입")</x:f>
        <x:v>가입</x:v>
      </x:c>
    </x:row>
    <x:row r="797" ht="23" customHeight="1">
      <x:c r="A797" s="2" t="str">
        <x:v>C0555</x:v>
      </x:c>
      <x:c r="B797" s="7" t="n">
        <x:v>55</x:v>
      </x:c>
      <x:c r="C797" s="2" t="str">
        <x:f>INT(B797/10)*10&amp;"대"</x:f>
        <x:v>50대</x:v>
      </x:c>
      <x:c r="D797" s="2" t="str">
        <x:v>여성</x:v>
      </x:c>
      <x:c r="E797" s="7" t="n">
        <x:v>4000</x:v>
      </x:c>
      <x:c r="F797" s="7" t="n">
        <x:v>1</x:v>
      </x:c>
      <x:c r="G797" s="2" t="str">
        <x:v>미혼</x:v>
      </x:c>
      <x:c r="H797" s="7" t="n">
        <x:v>0</x:v>
      </x:c>
      <x:c r="I797" s="2" t="str">
        <x:f>IF(H797&lt;3,H797&amp;"명","3명 이상")</x:f>
        <x:v>0명</x:v>
      </x:c>
      <x:c r="J797" s="2" t="str">
        <x:v>비흡연</x:v>
      </x:c>
      <x:c r="K797" s="2" t="str">
        <x:v>고혈압</x:v>
      </x:c>
      <x:c r="L797" s="2" t="str">
        <x:v>없음</x:v>
      </x:c>
      <x:c r="M797" s="2" t="str">
        <x:v>수호천사 행복 연금보험</x:v>
      </x:c>
      <x:c r="N797" s="2" t="str">
        <x:f>VLOOKUP(M797,'분류기준'!$A$5:$B$8,2,FALSE)</x:f>
        <x:v>연금보험</x:v>
      </x:c>
      <x:c r="O797" s="2" t="str">
        <x:v>특약 없음</x:v>
      </x:c>
      <x:c r="P797" s="2" t="str">
        <x:f>IF(O797="선택 안함","선택 안함",IF(O797="특약 없음","특약 없음","가입"))</x:f>
        <x:v>특약 없음</x:v>
      </x:c>
      <x:c r="Q797" s="2" t="str">
        <x:f>IF(P797="가입","가입","미가입")</x:f>
        <x:v>미가입</x:v>
      </x:c>
    </x:row>
    <x:row r="798" ht="23" customHeight="1">
      <x:c r="A798" s="2" t="str">
        <x:v>C0572</x:v>
      </x:c>
      <x:c r="B798" s="7" t="n">
        <x:v>55</x:v>
      </x:c>
      <x:c r="C798" s="2" t="str">
        <x:f>INT(B798/10)*10&amp;"대"</x:f>
        <x:v>50대</x:v>
      </x:c>
      <x:c r="D798" s="2" t="str">
        <x:v>여성</x:v>
      </x:c>
      <x:c r="E798" s="7" t="n">
        <x:v>7500</x:v>
      </x:c>
      <x:c r="F798" s="7" t="n">
        <x:v>2</x:v>
      </x:c>
      <x:c r="G798" s="2" t="str">
        <x:v>기혼</x:v>
      </x:c>
      <x:c r="H798" s="7" t="n">
        <x:v>1</x:v>
      </x:c>
      <x:c r="I798" s="2" t="str">
        <x:f>IF(H798&lt;3,H798&amp;"명","3명 이상")</x:f>
        <x:v>1명</x:v>
      </x:c>
      <x:c r="J798" s="2" t="str">
        <x:v>비흡연</x:v>
      </x:c>
      <x:c r="K798" s="2" t="str">
        <x:v>당뇨</x:v>
      </x:c>
      <x:c r="L798" s="2" t="str">
        <x:v>없음</x:v>
      </x:c>
      <x:c r="M798" s="2" t="str">
        <x:v>수호천사 간편심사(유병자)보험</x:v>
      </x:c>
      <x:c r="N798" s="2" t="str">
        <x:f>VLOOKUP(M798,'분류기준'!$A$5:$B$8,2,FALSE)</x:f>
        <x:v>간편심사보험</x:v>
      </x:c>
      <x:c r="O798" s="2" t="str">
        <x:v>선택 안함</x:v>
      </x:c>
      <x:c r="P798" s="2" t="str">
        <x:f>IF(O798="선택 안함","선택 안함",IF(O798="특약 없음","특약 없음","가입"))</x:f>
        <x:v>선택 안함</x:v>
      </x:c>
      <x:c r="Q798" s="2" t="str">
        <x:f>IF(P798="가입","가입","미가입")</x:f>
        <x:v>미가입</x:v>
      </x:c>
    </x:row>
    <x:row r="799" ht="23" customHeight="1">
      <x:c r="A799" s="2" t="str">
        <x:v>C0616</x:v>
      </x:c>
      <x:c r="B799" s="7" t="n">
        <x:v>55</x:v>
      </x:c>
      <x:c r="C799" s="2" t="str">
        <x:f>INT(B799/10)*10&amp;"대"</x:f>
        <x:v>50대</x:v>
      </x:c>
      <x:c r="D799" s="2" t="str">
        <x:v>남성</x:v>
      </x:c>
      <x:c r="E799" s="7" t="n">
        <x:v>5000</x:v>
      </x:c>
      <x:c r="F799" s="7" t="n">
        <x:v>1</x:v>
      </x:c>
      <x:c r="G799" s="2" t="str">
        <x:v>기혼</x:v>
      </x:c>
      <x:c r="H799" s="7" t="n">
        <x:v>0</x:v>
      </x:c>
      <x:c r="I799" s="2" t="str">
        <x:f>IF(H799&lt;3,H799&amp;"명","3명 이상")</x:f>
        <x:v>0명</x:v>
      </x:c>
      <x:c r="J799" s="2" t="str">
        <x:v>흡연</x:v>
      </x:c>
      <x:c r="K799" s="2" t="str">
        <x:v>없음</x:v>
      </x:c>
      <x:c r="L799" s="2" t="str">
        <x:v>없음</x:v>
      </x:c>
      <x:c r="M799" s="2" t="str">
        <x:v>수호천사 암/건강보험</x:v>
      </x:c>
      <x:c r="N799" s="2" t="str">
        <x:f>VLOOKUP(M799,'분류기준'!$A$5:$B$8,2,FALSE)</x:f>
        <x:v>암/건강보험</x:v>
      </x:c>
      <x:c r="O799" s="2" t="str">
        <x:v>표적항암약물허가치료 특약</x:v>
      </x:c>
      <x:c r="P799" s="2" t="str">
        <x:f>IF(O799="선택 안함","선택 안함",IF(O799="특약 없음","특약 없음","가입"))</x:f>
        <x:v>가입</x:v>
      </x:c>
      <x:c r="Q799" s="2" t="str">
        <x:f>IF(P799="가입","가입","미가입")</x:f>
        <x:v>가입</x:v>
      </x:c>
    </x:row>
    <x:row r="800" ht="23" customHeight="1">
      <x:c r="A800" s="2" t="str">
        <x:v>C0653</x:v>
      </x:c>
      <x:c r="B800" s="7" t="n">
        <x:v>55</x:v>
      </x:c>
      <x:c r="C800" s="2" t="str">
        <x:f>INT(B800/10)*10&amp;"대"</x:f>
        <x:v>50대</x:v>
      </x:c>
      <x:c r="D800" s="2" t="str">
        <x:v>남성</x:v>
      </x:c>
      <x:c r="E800" s="7" t="n">
        <x:v>5000</x:v>
      </x:c>
      <x:c r="F800" s="7" t="n">
        <x:v>1</x:v>
      </x:c>
      <x:c r="G800" s="2" t="str">
        <x:v>기혼</x:v>
      </x:c>
      <x:c r="H800" s="7" t="n">
        <x:v>2</x:v>
      </x:c>
      <x:c r="I800" s="2" t="str">
        <x:f>IF(H800&lt;3,H800&amp;"명","3명 이상")</x:f>
        <x:v>2명</x:v>
      </x:c>
      <x:c r="J800" s="2" t="str">
        <x:v>비흡연</x:v>
      </x:c>
      <x:c r="K800" s="2" t="str">
        <x:v>고혈압</x:v>
      </x:c>
      <x:c r="L800" s="2" t="str">
        <x:v>심혈관</x:v>
      </x:c>
      <x:c r="M800" s="2" t="str">
        <x:v>수호천사 간편심사(유병자)보험</x:v>
      </x:c>
      <x:c r="N800" s="2" t="str">
        <x:f>VLOOKUP(M800,'분류기준'!$A$5:$B$8,2,FALSE)</x:f>
        <x:v>간편심사보험</x:v>
      </x:c>
      <x:c r="O800" s="2" t="str">
        <x:v>중증질환 산정특례 보장 특약</x:v>
      </x:c>
      <x:c r="P800" s="2" t="str">
        <x:f>IF(O800="선택 안함","선택 안함",IF(O800="특약 없음","특약 없음","가입"))</x:f>
        <x:v>가입</x:v>
      </x:c>
      <x:c r="Q800" s="2" t="str">
        <x:f>IF(P800="가입","가입","미가입")</x:f>
        <x:v>가입</x:v>
      </x:c>
    </x:row>
    <x:row r="801" ht="23" customHeight="1">
      <x:c r="A801" s="2" t="str">
        <x:v>C0678</x:v>
      </x:c>
      <x:c r="B801" s="7" t="n">
        <x:v>55</x:v>
      </x:c>
      <x:c r="C801" s="2" t="str">
        <x:f>INT(B801/10)*10&amp;"대"</x:f>
        <x:v>50대</x:v>
      </x:c>
      <x:c r="D801" s="2" t="str">
        <x:v>남성</x:v>
      </x:c>
      <x:c r="E801" s="7" t="n">
        <x:v>4000</x:v>
      </x:c>
      <x:c r="F801" s="7" t="n">
        <x:v>3</x:v>
      </x:c>
      <x:c r="G801" s="2" t="str">
        <x:v>기혼</x:v>
      </x:c>
      <x:c r="H801" s="7" t="n">
        <x:v>2</x:v>
      </x:c>
      <x:c r="I801" s="2" t="str">
        <x:f>IF(H801&lt;3,H801&amp;"명","3명 이상")</x:f>
        <x:v>2명</x:v>
      </x:c>
      <x:c r="J801" s="2" t="str">
        <x:v>흡연</x:v>
      </x:c>
      <x:c r="K801" s="2" t="str">
        <x:v>당뇨</x:v>
      </x:c>
      <x:c r="L801" s="2" t="str">
        <x:v>암</x:v>
      </x:c>
      <x:c r="M801" s="2" t="str">
        <x:v>수호천사 간편심사(유병자)보험</x:v>
      </x:c>
      <x:c r="N801" s="2" t="str">
        <x:f>VLOOKUP(M801,'분류기준'!$A$5:$B$8,2,FALSE)</x:f>
        <x:v>간편심사보험</x:v>
      </x:c>
      <x:c r="O801" s="2" t="str">
        <x:v>중증질환 산정특례 보장 특약</x:v>
      </x:c>
      <x:c r="P801" s="2" t="str">
        <x:f>IF(O801="선택 안함","선택 안함",IF(O801="특약 없음","특약 없음","가입"))</x:f>
        <x:v>가입</x:v>
      </x:c>
      <x:c r="Q801" s="2" t="str">
        <x:f>IF(P801="가입","가입","미가입")</x:f>
        <x:v>가입</x:v>
      </x:c>
    </x:row>
    <x:row r="802" ht="23" customHeight="1">
      <x:c r="A802" s="2" t="str">
        <x:v>C0685</x:v>
      </x:c>
      <x:c r="B802" s="7" t="n">
        <x:v>55</x:v>
      </x:c>
      <x:c r="C802" s="2" t="str">
        <x:f>INT(B802/10)*10&amp;"대"</x:f>
        <x:v>50대</x:v>
      </x:c>
      <x:c r="D802" s="2" t="str">
        <x:v>남성</x:v>
      </x:c>
      <x:c r="E802" s="7" t="n">
        <x:v>5000</x:v>
      </x:c>
      <x:c r="F802" s="7" t="n">
        <x:v>1</x:v>
      </x:c>
      <x:c r="G802" s="2" t="str">
        <x:v>기혼</x:v>
      </x:c>
      <x:c r="H802" s="7" t="n">
        <x:v>1</x:v>
      </x:c>
      <x:c r="I802" s="2" t="str">
        <x:f>IF(H802&lt;3,H802&amp;"명","3명 이상")</x:f>
        <x:v>1명</x:v>
      </x:c>
      <x:c r="J802" s="2" t="str">
        <x:v>비흡연</x:v>
      </x:c>
      <x:c r="K802" s="2" t="str">
        <x:v>없음</x:v>
      </x:c>
      <x:c r="L802" s="2" t="str">
        <x:v>없음</x:v>
      </x:c>
      <x:c r="M802" s="2" t="str">
        <x:v>수호천사 암/건강보험</x:v>
      </x:c>
      <x:c r="N802" s="2" t="str">
        <x:f>VLOOKUP(M802,'분류기준'!$A$5:$B$8,2,FALSE)</x:f>
        <x:v>암/건강보험</x:v>
      </x:c>
      <x:c r="O802" s="2" t="str">
        <x:v>수술비 보장 특약</x:v>
      </x:c>
      <x:c r="P802" s="2" t="str">
        <x:f>IF(O802="선택 안함","선택 안함",IF(O802="특약 없음","특약 없음","가입"))</x:f>
        <x:v>가입</x:v>
      </x:c>
      <x:c r="Q802" s="2" t="str">
        <x:f>IF(P802="가입","가입","미가입")</x:f>
        <x:v>가입</x:v>
      </x:c>
    </x:row>
    <x:row r="803" ht="23" customHeight="1">
      <x:c r="A803" s="2" t="str">
        <x:v>C0848</x:v>
      </x:c>
      <x:c r="B803" s="7" t="n">
        <x:v>55</x:v>
      </x:c>
      <x:c r="C803" s="2" t="str">
        <x:f>INT(B803/10)*10&amp;"대"</x:f>
        <x:v>50대</x:v>
      </x:c>
      <x:c r="D803" s="2" t="str">
        <x:v>남성</x:v>
      </x:c>
      <x:c r="E803" s="7" t="n">
        <x:v>4000</x:v>
      </x:c>
      <x:c r="F803" s="7" t="n">
        <x:v>1</x:v>
      </x:c>
      <x:c r="G803" s="2" t="str">
        <x:v>미혼</x:v>
      </x:c>
      <x:c r="H803" s="7" t="n">
        <x:v>0</x:v>
      </x:c>
      <x:c r="I803" s="2" t="str">
        <x:f>IF(H803&lt;3,H803&amp;"명","3명 이상")</x:f>
        <x:v>0명</x:v>
      </x:c>
      <x:c r="J803" s="2" t="str">
        <x:v>비흡연</x:v>
      </x:c>
      <x:c r="K803" s="2" t="str">
        <x:v>없음</x:v>
      </x:c>
      <x:c r="L803" s="2" t="str">
        <x:v>심혈관</x:v>
      </x:c>
      <x:c r="M803" s="2" t="str">
        <x:v>수호천사 행복 연금보험</x:v>
      </x:c>
      <x:c r="N803" s="2" t="str">
        <x:f>VLOOKUP(M803,'분류기준'!$A$5:$B$8,2,FALSE)</x:f>
        <x:v>연금보험</x:v>
      </x:c>
      <x:c r="O803" s="2" t="str">
        <x:v>특약 없음</x:v>
      </x:c>
      <x:c r="P803" s="2" t="str">
        <x:f>IF(O803="선택 안함","선택 안함",IF(O803="특약 없음","특약 없음","가입"))</x:f>
        <x:v>특약 없음</x:v>
      </x:c>
      <x:c r="Q803" s="2" t="str">
        <x:f>IF(P803="가입","가입","미가입")</x:f>
        <x:v>미가입</x:v>
      </x:c>
    </x:row>
    <x:row r="804" ht="23" customHeight="1">
      <x:c r="A804" s="2" t="str">
        <x:v>C0895</x:v>
      </x:c>
      <x:c r="B804" s="7" t="n">
        <x:v>55</x:v>
      </x:c>
      <x:c r="C804" s="2" t="str">
        <x:f>INT(B804/10)*10&amp;"대"</x:f>
        <x:v>50대</x:v>
      </x:c>
      <x:c r="D804" s="2" t="str">
        <x:v>남성</x:v>
      </x:c>
      <x:c r="E804" s="7" t="n">
        <x:v>5000</x:v>
      </x:c>
      <x:c r="F804" s="7" t="n">
        <x:v>1</x:v>
      </x:c>
      <x:c r="G804" s="2" t="str">
        <x:v>기혼</x:v>
      </x:c>
      <x:c r="H804" s="7" t="n">
        <x:v>1</x:v>
      </x:c>
      <x:c r="I804" s="2" t="str">
        <x:f>IF(H804&lt;3,H804&amp;"명","3명 이상")</x:f>
        <x:v>1명</x:v>
      </x:c>
      <x:c r="J804" s="2" t="str">
        <x:v>흡연</x:v>
      </x:c>
      <x:c r="K804" s="2" t="str">
        <x:v>없음</x:v>
      </x:c>
      <x:c r="L804" s="2" t="str">
        <x:v>없음</x:v>
      </x:c>
      <x:c r="M804" s="2" t="str">
        <x:v>수호천사 암/건강보험</x:v>
      </x:c>
      <x:c r="N804" s="2" t="str">
        <x:f>VLOOKUP(M804,'분류기준'!$A$5:$B$8,2,FALSE)</x:f>
        <x:v>암/건강보험</x:v>
      </x:c>
      <x:c r="O804" s="2" t="str">
        <x:v>선택 안함</x:v>
      </x:c>
      <x:c r="P804" s="2" t="str">
        <x:f>IF(O804="선택 안함","선택 안함",IF(O804="특약 없음","특약 없음","가입"))</x:f>
        <x:v>선택 안함</x:v>
      </x:c>
      <x:c r="Q804" s="2" t="str">
        <x:f>IF(P804="가입","가입","미가입")</x:f>
        <x:v>미가입</x:v>
      </x:c>
    </x:row>
    <x:row r="805" ht="23" customHeight="1">
      <x:c r="A805" s="2" t="str">
        <x:v>C0927</x:v>
      </x:c>
      <x:c r="B805" s="7" t="n">
        <x:v>55</x:v>
      </x:c>
      <x:c r="C805" s="2" t="str">
        <x:f>INT(B805/10)*10&amp;"대"</x:f>
        <x:v>50대</x:v>
      </x:c>
      <x:c r="D805" s="2" t="str">
        <x:v>남성</x:v>
      </x:c>
      <x:c r="E805" s="7" t="n">
        <x:v>3000</x:v>
      </x:c>
      <x:c r="F805" s="7" t="n">
        <x:v>3</x:v>
      </x:c>
      <x:c r="G805" s="2" t="str">
        <x:v>기혼</x:v>
      </x:c>
      <x:c r="H805" s="7" t="n">
        <x:v>1</x:v>
      </x:c>
      <x:c r="I805" s="2" t="str">
        <x:f>IF(H805&lt;3,H805&amp;"명","3명 이상")</x:f>
        <x:v>1명</x:v>
      </x:c>
      <x:c r="J805" s="2" t="str">
        <x:v>비흡연</x:v>
      </x:c>
      <x:c r="K805" s="2" t="str">
        <x:v>당뇨</x:v>
      </x:c>
      <x:c r="L805" s="2" t="str">
        <x:v>없음</x:v>
      </x:c>
      <x:c r="M805" s="2" t="str">
        <x:v>수호천사 간편심사(유병자)보험</x:v>
      </x:c>
      <x:c r="N805" s="2" t="str">
        <x:f>VLOOKUP(M805,'분류기준'!$A$5:$B$8,2,FALSE)</x:f>
        <x:v>간편심사보험</x:v>
      </x:c>
      <x:c r="O805" s="2" t="str">
        <x:v>선택 안함</x:v>
      </x:c>
      <x:c r="P805" s="2" t="str">
        <x:f>IF(O805="선택 안함","선택 안함",IF(O805="특약 없음","특약 없음","가입"))</x:f>
        <x:v>선택 안함</x:v>
      </x:c>
      <x:c r="Q805" s="2" t="str">
        <x:f>IF(P805="가입","가입","미가입")</x:f>
        <x:v>미가입</x:v>
      </x:c>
    </x:row>
    <x:row r="806" ht="23" customHeight="1">
      <x:c r="A806" s="2" t="str">
        <x:v>C0962</x:v>
      </x:c>
      <x:c r="B806" s="7" t="n">
        <x:v>55</x:v>
      </x:c>
      <x:c r="C806" s="2" t="str">
        <x:f>INT(B806/10)*10&amp;"대"</x:f>
        <x:v>50대</x:v>
      </x:c>
      <x:c r="D806" s="2" t="str">
        <x:v>남성</x:v>
      </x:c>
      <x:c r="E806" s="7" t="n">
        <x:v>7500</x:v>
      </x:c>
      <x:c r="F806" s="7" t="n">
        <x:v>2</x:v>
      </x:c>
      <x:c r="G806" s="2" t="str">
        <x:v>기혼</x:v>
      </x:c>
      <x:c r="H806" s="7" t="n">
        <x:v>1</x:v>
      </x:c>
      <x:c r="I806" s="2" t="str">
        <x:f>IF(H806&lt;3,H806&amp;"명","3명 이상")</x:f>
        <x:v>1명</x:v>
      </x:c>
      <x:c r="J806" s="2" t="str">
        <x:v>비흡연</x:v>
      </x:c>
      <x:c r="K806" s="2" t="str">
        <x:v>당뇨</x:v>
      </x:c>
      <x:c r="L806" s="2" t="str">
        <x:v>암</x:v>
      </x:c>
      <x:c r="M806" s="2" t="str">
        <x:v>수호천사 암/건강보험</x:v>
      </x:c>
      <x:c r="N806" s="2" t="str">
        <x:f>VLOOKUP(M806,'분류기준'!$A$5:$B$8,2,FALSE)</x:f>
        <x:v>암/건강보험</x:v>
      </x:c>
      <x:c r="O806" s="2" t="str">
        <x:v>표적항암약물허가치료 특약</x:v>
      </x:c>
      <x:c r="P806" s="2" t="str">
        <x:f>IF(O806="선택 안함","선택 안함",IF(O806="특약 없음","특약 없음","가입"))</x:f>
        <x:v>가입</x:v>
      </x:c>
      <x:c r="Q806" s="2" t="str">
        <x:f>IF(P806="가입","가입","미가입")</x:f>
        <x:v>가입</x:v>
      </x:c>
    </x:row>
    <x:row r="807" ht="23" customHeight="1">
      <x:c r="A807" s="2" t="str">
        <x:v>C0037</x:v>
      </x:c>
      <x:c r="B807" s="7" t="n">
        <x:v>56</x:v>
      </x:c>
      <x:c r="C807" s="2" t="str">
        <x:f>INT(B807/10)*10&amp;"대"</x:f>
        <x:v>50대</x:v>
      </x:c>
      <x:c r="D807" s="2" t="str">
        <x:v>여성</x:v>
      </x:c>
      <x:c r="E807" s="7" t="n">
        <x:v>5000</x:v>
      </x:c>
      <x:c r="F807" s="7" t="n">
        <x:v>1</x:v>
      </x:c>
      <x:c r="G807" s="2" t="str">
        <x:v>기혼</x:v>
      </x:c>
      <x:c r="H807" s="7" t="n">
        <x:v>2</x:v>
      </x:c>
      <x:c r="I807" s="2" t="str">
        <x:f>IF(H807&lt;3,H807&amp;"명","3명 이상")</x:f>
        <x:v>2명</x:v>
      </x:c>
      <x:c r="J807" s="2" t="str">
        <x:v>비흡연</x:v>
      </x:c>
      <x:c r="K807" s="2" t="str">
        <x:v>고혈압</x:v>
      </x:c>
      <x:c r="L807" s="2" t="str">
        <x:v>없음</x:v>
      </x:c>
      <x:c r="M807" s="2" t="str">
        <x:v>수호천사 행복 연금보험</x:v>
      </x:c>
      <x:c r="N807" s="2" t="str">
        <x:f>VLOOKUP(M807,'분류기준'!$A$5:$B$8,2,FALSE)</x:f>
        <x:v>연금보험</x:v>
      </x:c>
      <x:c r="O807" s="2" t="str">
        <x:v>특약 없음</x:v>
      </x:c>
      <x:c r="P807" s="2" t="str">
        <x:f>IF(O807="선택 안함","선택 안함",IF(O807="특약 없음","특약 없음","가입"))</x:f>
        <x:v>특약 없음</x:v>
      </x:c>
      <x:c r="Q807" s="2" t="str">
        <x:f>IF(P807="가입","가입","미가입")</x:f>
        <x:v>미가입</x:v>
      </x:c>
    </x:row>
    <x:row r="808" ht="23" customHeight="1">
      <x:c r="A808" s="2" t="str">
        <x:v>C0118</x:v>
      </x:c>
      <x:c r="B808" s="7" t="n">
        <x:v>56</x:v>
      </x:c>
      <x:c r="C808" s="2" t="str">
        <x:f>INT(B808/10)*10&amp;"대"</x:f>
        <x:v>50대</x:v>
      </x:c>
      <x:c r="D808" s="2" t="str">
        <x:v>남성</x:v>
      </x:c>
      <x:c r="E808" s="7" t="n">
        <x:v>4000</x:v>
      </x:c>
      <x:c r="F808" s="7" t="n">
        <x:v>1</x:v>
      </x:c>
      <x:c r="G808" s="2" t="str">
        <x:v>기혼</x:v>
      </x:c>
      <x:c r="H808" s="7" t="n">
        <x:v>1</x:v>
      </x:c>
      <x:c r="I808" s="2" t="str">
        <x:f>IF(H808&lt;3,H808&amp;"명","3명 이상")</x:f>
        <x:v>1명</x:v>
      </x:c>
      <x:c r="J808" s="2" t="str">
        <x:v>비흡연</x:v>
      </x:c>
      <x:c r="K808" s="2" t="str">
        <x:v>고혈압</x:v>
      </x:c>
      <x:c r="L808" s="2" t="str">
        <x:v>없음</x:v>
      </x:c>
      <x:c r="M808" s="2" t="str">
        <x:v>수호천사 암/건강보험</x:v>
      </x:c>
      <x:c r="N808" s="2" t="str">
        <x:f>VLOOKUP(M808,'분류기준'!$A$5:$B$8,2,FALSE)</x:f>
        <x:v>암/건강보험</x:v>
      </x:c>
      <x:c r="O808" s="2" t="str">
        <x:v>수술비 보장 특약</x:v>
      </x:c>
      <x:c r="P808" s="2" t="str">
        <x:f>IF(O808="선택 안함","선택 안함",IF(O808="특약 없음","특약 없음","가입"))</x:f>
        <x:v>가입</x:v>
      </x:c>
      <x:c r="Q808" s="2" t="str">
        <x:f>IF(P808="가입","가입","미가입")</x:f>
        <x:v>가입</x:v>
      </x:c>
    </x:row>
    <x:row r="809" ht="23" customHeight="1">
      <x:c r="A809" s="2" t="str">
        <x:v>C0127</x:v>
      </x:c>
      <x:c r="B809" s="7" t="n">
        <x:v>56</x:v>
      </x:c>
      <x:c r="C809" s="2" t="str">
        <x:f>INT(B809/10)*10&amp;"대"</x:f>
        <x:v>50대</x:v>
      </x:c>
      <x:c r="D809" s="2" t="str">
        <x:v>남성</x:v>
      </x:c>
      <x:c r="E809" s="7" t="n">
        <x:v>12000</x:v>
      </x:c>
      <x:c r="F809" s="7" t="n">
        <x:v>1</x:v>
      </x:c>
      <x:c r="G809" s="2" t="str">
        <x:v>기혼</x:v>
      </x:c>
      <x:c r="H809" s="7" t="n">
        <x:v>1</x:v>
      </x:c>
      <x:c r="I809" s="2" t="str">
        <x:f>IF(H809&lt;3,H809&amp;"명","3명 이상")</x:f>
        <x:v>1명</x:v>
      </x:c>
      <x:c r="J809" s="2" t="str">
        <x:v>비흡연</x:v>
      </x:c>
      <x:c r="K809" s="2" t="str">
        <x:v>당뇨</x:v>
      </x:c>
      <x:c r="L809" s="2" t="str">
        <x:v>없음</x:v>
      </x:c>
      <x:c r="M809" s="2" t="str">
        <x:v>수호천사 간편심사(유병자)보험</x:v>
      </x:c>
      <x:c r="N809" s="2" t="str">
        <x:f>VLOOKUP(M809,'분류기준'!$A$5:$B$8,2,FALSE)</x:f>
        <x:v>간편심사보험</x:v>
      </x:c>
      <x:c r="O809" s="2" t="str">
        <x:v>선택 안함</x:v>
      </x:c>
      <x:c r="P809" s="2" t="str">
        <x:f>IF(O809="선택 안함","선택 안함",IF(O809="특약 없음","특약 없음","가입"))</x:f>
        <x:v>선택 안함</x:v>
      </x:c>
      <x:c r="Q809" s="2" t="str">
        <x:f>IF(P809="가입","가입","미가입")</x:f>
        <x:v>미가입</x:v>
      </x:c>
    </x:row>
    <x:row r="810" ht="23" customHeight="1">
      <x:c r="A810" s="2" t="str">
        <x:v>C0147</x:v>
      </x:c>
      <x:c r="B810" s="7" t="n">
        <x:v>56</x:v>
      </x:c>
      <x:c r="C810" s="2" t="str">
        <x:f>INT(B810/10)*10&amp;"대"</x:f>
        <x:v>50대</x:v>
      </x:c>
      <x:c r="D810" s="2" t="str">
        <x:v>여성</x:v>
      </x:c>
      <x:c r="E810" s="7" t="n">
        <x:v>3000</x:v>
      </x:c>
      <x:c r="F810" s="7" t="n">
        <x:v>1</x:v>
      </x:c>
      <x:c r="G810" s="2" t="str">
        <x:v>기혼</x:v>
      </x:c>
      <x:c r="H810" s="7" t="n">
        <x:v>1</x:v>
      </x:c>
      <x:c r="I810" s="2" t="str">
        <x:f>IF(H810&lt;3,H810&amp;"명","3명 이상")</x:f>
        <x:v>1명</x:v>
      </x:c>
      <x:c r="J810" s="2" t="str">
        <x:v>흡연</x:v>
      </x:c>
      <x:c r="K810" s="2" t="str">
        <x:v>없음</x:v>
      </x:c>
      <x:c r="L810" s="2" t="str">
        <x:v>없음</x:v>
      </x:c>
      <x:c r="M810" s="2" t="str">
        <x:v>수호천사 행복 연금보험</x:v>
      </x:c>
      <x:c r="N810" s="2" t="str">
        <x:f>VLOOKUP(M810,'분류기준'!$A$5:$B$8,2,FALSE)</x:f>
        <x:v>연금보험</x:v>
      </x:c>
      <x:c r="O810" s="2" t="str">
        <x:v>특약 없음</x:v>
      </x:c>
      <x:c r="P810" s="2" t="str">
        <x:f>IF(O810="선택 안함","선택 안함",IF(O810="특약 없음","특약 없음","가입"))</x:f>
        <x:v>특약 없음</x:v>
      </x:c>
      <x:c r="Q810" s="2" t="str">
        <x:f>IF(P810="가입","가입","미가입")</x:f>
        <x:v>미가입</x:v>
      </x:c>
    </x:row>
    <x:row r="811" ht="23" customHeight="1">
      <x:c r="A811" s="2" t="str">
        <x:v>C0185</x:v>
      </x:c>
      <x:c r="B811" s="7" t="n">
        <x:v>56</x:v>
      </x:c>
      <x:c r="C811" s="2" t="str">
        <x:f>INT(B811/10)*10&amp;"대"</x:f>
        <x:v>50대</x:v>
      </x:c>
      <x:c r="D811" s="2" t="str">
        <x:v>남성</x:v>
      </x:c>
      <x:c r="E811" s="7" t="n">
        <x:v>6000</x:v>
      </x:c>
      <x:c r="F811" s="7" t="n">
        <x:v>1</x:v>
      </x:c>
      <x:c r="G811" s="2" t="str">
        <x:v>기혼</x:v>
      </x:c>
      <x:c r="H811" s="7" t="n">
        <x:v>1</x:v>
      </x:c>
      <x:c r="I811" s="2" t="str">
        <x:f>IF(H811&lt;3,H811&amp;"명","3명 이상")</x:f>
        <x:v>1명</x:v>
      </x:c>
      <x:c r="J811" s="2" t="str">
        <x:v>비흡연</x:v>
      </x:c>
      <x:c r="K811" s="2" t="str">
        <x:v>당뇨</x:v>
      </x:c>
      <x:c r="L811" s="2" t="str">
        <x:v>없음</x:v>
      </x:c>
      <x:c r="M811" s="2" t="str">
        <x:v>수호천사 간편심사(유병자)보험</x:v>
      </x:c>
      <x:c r="N811" s="2" t="str">
        <x:f>VLOOKUP(M811,'분류기준'!$A$5:$B$8,2,FALSE)</x:f>
        <x:v>간편심사보험</x:v>
      </x:c>
      <x:c r="O811" s="2" t="str">
        <x:v>선택 안함</x:v>
      </x:c>
      <x:c r="P811" s="2" t="str">
        <x:f>IF(O811="선택 안함","선택 안함",IF(O811="특약 없음","특약 없음","가입"))</x:f>
        <x:v>선택 안함</x:v>
      </x:c>
      <x:c r="Q811" s="2" t="str">
        <x:f>IF(P811="가입","가입","미가입")</x:f>
        <x:v>미가입</x:v>
      </x:c>
    </x:row>
    <x:row r="812" ht="23" customHeight="1">
      <x:c r="A812" s="2" t="str">
        <x:v>C0199</x:v>
      </x:c>
      <x:c r="B812" s="7" t="n">
        <x:v>56</x:v>
      </x:c>
      <x:c r="C812" s="2" t="str">
        <x:f>INT(B812/10)*10&amp;"대"</x:f>
        <x:v>50대</x:v>
      </x:c>
      <x:c r="D812" s="2" t="str">
        <x:v>여성</x:v>
      </x:c>
      <x:c r="E812" s="7" t="n">
        <x:v>3000</x:v>
      </x:c>
      <x:c r="F812" s="7" t="n">
        <x:v>1</x:v>
      </x:c>
      <x:c r="G812" s="2" t="str">
        <x:v>기혼</x:v>
      </x:c>
      <x:c r="H812" s="7" t="n">
        <x:v>1</x:v>
      </x:c>
      <x:c r="I812" s="2" t="str">
        <x:f>IF(H812&lt;3,H812&amp;"명","3명 이상")</x:f>
        <x:v>1명</x:v>
      </x:c>
      <x:c r="J812" s="2" t="str">
        <x:v>흡연</x:v>
      </x:c>
      <x:c r="K812" s="2" t="str">
        <x:v>고혈압</x:v>
      </x:c>
      <x:c r="L812" s="2" t="str">
        <x:v>없음</x:v>
      </x:c>
      <x:c r="M812" s="2" t="str">
        <x:v>수호천사 간편심사(유병자)보험</x:v>
      </x:c>
      <x:c r="N812" s="2" t="str">
        <x:f>VLOOKUP(M812,'분류기준'!$A$5:$B$8,2,FALSE)</x:f>
        <x:v>간편심사보험</x:v>
      </x:c>
      <x:c r="O812" s="2" t="str">
        <x:v>중증질환 산정특례 보장 특약</x:v>
      </x:c>
      <x:c r="P812" s="2" t="str">
        <x:f>IF(O812="선택 안함","선택 안함",IF(O812="특약 없음","특약 없음","가입"))</x:f>
        <x:v>가입</x:v>
      </x:c>
      <x:c r="Q812" s="2" t="str">
        <x:f>IF(P812="가입","가입","미가입")</x:f>
        <x:v>가입</x:v>
      </x:c>
    </x:row>
    <x:row r="813" ht="23" customHeight="1">
      <x:c r="A813" s="2" t="str">
        <x:v>C0205</x:v>
      </x:c>
      <x:c r="B813" s="7" t="n">
        <x:v>56</x:v>
      </x:c>
      <x:c r="C813" s="2" t="str">
        <x:f>INT(B813/10)*10&amp;"대"</x:f>
        <x:v>50대</x:v>
      </x:c>
      <x:c r="D813" s="2" t="str">
        <x:v>여성</x:v>
      </x:c>
      <x:c r="E813" s="7" t="n">
        <x:v>5000</x:v>
      </x:c>
      <x:c r="F813" s="7" t="n">
        <x:v>1</x:v>
      </x:c>
      <x:c r="G813" s="2" t="str">
        <x:v>기혼</x:v>
      </x:c>
      <x:c r="H813" s="7" t="n">
        <x:v>1</x:v>
      </x:c>
      <x:c r="I813" s="2" t="str">
        <x:f>IF(H813&lt;3,H813&amp;"명","3명 이상")</x:f>
        <x:v>1명</x:v>
      </x:c>
      <x:c r="J813" s="2" t="str">
        <x:v>비흡연</x:v>
      </x:c>
      <x:c r="K813" s="2" t="str">
        <x:v>당뇨</x:v>
      </x:c>
      <x:c r="L813" s="2" t="str">
        <x:v>없음</x:v>
      </x:c>
      <x:c r="M813" s="2" t="str">
        <x:v>수호천사 우리가족 종신보험</x:v>
      </x:c>
      <x:c r="N813" s="2" t="str">
        <x:f>VLOOKUP(M813,'분류기준'!$A$5:$B$8,2,FALSE)</x:f>
        <x:v>종신보험</x:v>
      </x:c>
      <x:c r="O813" s="2" t="str">
        <x:v>가족 수입 보장 특약</x:v>
      </x:c>
      <x:c r="P813" s="2" t="str">
        <x:f>IF(O813="선택 안함","선택 안함",IF(O813="특약 없음","특약 없음","가입"))</x:f>
        <x:v>가입</x:v>
      </x:c>
      <x:c r="Q813" s="2" t="str">
        <x:f>IF(P813="가입","가입","미가입")</x:f>
        <x:v>가입</x:v>
      </x:c>
    </x:row>
    <x:row r="814" ht="23" customHeight="1">
      <x:c r="A814" s="2" t="str">
        <x:v>C0264</x:v>
      </x:c>
      <x:c r="B814" s="7" t="n">
        <x:v>56</x:v>
      </x:c>
      <x:c r="C814" s="2" t="str">
        <x:f>INT(B814/10)*10&amp;"대"</x:f>
        <x:v>50대</x:v>
      </x:c>
      <x:c r="D814" s="2" t="str">
        <x:v>여성</x:v>
      </x:c>
      <x:c r="E814" s="7" t="n">
        <x:v>9000</x:v>
      </x:c>
      <x:c r="F814" s="7" t="n">
        <x:v>1</x:v>
      </x:c>
      <x:c r="G814" s="2" t="str">
        <x:v>미혼</x:v>
      </x:c>
      <x:c r="H814" s="7" t="n">
        <x:v>0</x:v>
      </x:c>
      <x:c r="I814" s="2" t="str">
        <x:f>IF(H814&lt;3,H814&amp;"명","3명 이상")</x:f>
        <x:v>0명</x:v>
      </x:c>
      <x:c r="J814" s="2" t="str">
        <x:v>비흡연</x:v>
      </x:c>
      <x:c r="K814" s="2" t="str">
        <x:v>고혈압</x:v>
      </x:c>
      <x:c r="L814" s="2" t="str">
        <x:v>없음</x:v>
      </x:c>
      <x:c r="M814" s="2" t="str">
        <x:v>수호천사 행복 연금보험</x:v>
      </x:c>
      <x:c r="N814" s="2" t="str">
        <x:f>VLOOKUP(M814,'분류기준'!$A$5:$B$8,2,FALSE)</x:f>
        <x:v>연금보험</x:v>
      </x:c>
      <x:c r="O814" s="2" t="str">
        <x:v>특약 없음</x:v>
      </x:c>
      <x:c r="P814" s="2" t="str">
        <x:f>IF(O814="선택 안함","선택 안함",IF(O814="특약 없음","특약 없음","가입"))</x:f>
        <x:v>특약 없음</x:v>
      </x:c>
      <x:c r="Q814" s="2" t="str">
        <x:f>IF(P814="가입","가입","미가입")</x:f>
        <x:v>미가입</x:v>
      </x:c>
    </x:row>
    <x:row r="815" ht="23" customHeight="1">
      <x:c r="A815" s="2" t="str">
        <x:v>C0336</x:v>
      </x:c>
      <x:c r="B815" s="7" t="n">
        <x:v>56</x:v>
      </x:c>
      <x:c r="C815" s="2" t="str">
        <x:f>INT(B815/10)*10&amp;"대"</x:f>
        <x:v>50대</x:v>
      </x:c>
      <x:c r="D815" s="2" t="str">
        <x:v>남성</x:v>
      </x:c>
      <x:c r="E815" s="7" t="n">
        <x:v>6000</x:v>
      </x:c>
      <x:c r="F815" s="7" t="n">
        <x:v>3</x:v>
      </x:c>
      <x:c r="G815" s="2" t="str">
        <x:v>미혼</x:v>
      </x:c>
      <x:c r="H815" s="7" t="n">
        <x:v>0</x:v>
      </x:c>
      <x:c r="I815" s="2" t="str">
        <x:f>IF(H815&lt;3,H815&amp;"명","3명 이상")</x:f>
        <x:v>0명</x:v>
      </x:c>
      <x:c r="J815" s="2" t="str">
        <x:v>비흡연</x:v>
      </x:c>
      <x:c r="K815" s="2" t="str">
        <x:v>없음</x:v>
      </x:c>
      <x:c r="L815" s="2" t="str">
        <x:v>심혈관</x:v>
      </x:c>
      <x:c r="M815" s="2" t="str">
        <x:v>수호천사 행복 연금보험</x:v>
      </x:c>
      <x:c r="N815" s="2" t="str">
        <x:f>VLOOKUP(M815,'분류기준'!$A$5:$B$8,2,FALSE)</x:f>
        <x:v>연금보험</x:v>
      </x:c>
      <x:c r="O815" s="2" t="str">
        <x:v>특약 없음</x:v>
      </x:c>
      <x:c r="P815" s="2" t="str">
        <x:f>IF(O815="선택 안함","선택 안함",IF(O815="특약 없음","특약 없음","가입"))</x:f>
        <x:v>특약 없음</x:v>
      </x:c>
      <x:c r="Q815" s="2" t="str">
        <x:f>IF(P815="가입","가입","미가입")</x:f>
        <x:v>미가입</x:v>
      </x:c>
    </x:row>
    <x:row r="816" ht="23" customHeight="1">
      <x:c r="A816" s="2" t="str">
        <x:v>C0402</x:v>
      </x:c>
      <x:c r="B816" s="7" t="n">
        <x:v>56</x:v>
      </x:c>
      <x:c r="C816" s="2" t="str">
        <x:f>INT(B816/10)*10&amp;"대"</x:f>
        <x:v>50대</x:v>
      </x:c>
      <x:c r="D816" s="2" t="str">
        <x:v>여성</x:v>
      </x:c>
      <x:c r="E816" s="7" t="n">
        <x:v>3000</x:v>
      </x:c>
      <x:c r="F816" s="7" t="n">
        <x:v>1</x:v>
      </x:c>
      <x:c r="G816" s="2" t="str">
        <x:v>기혼</x:v>
      </x:c>
      <x:c r="H816" s="7" t="n">
        <x:v>1</x:v>
      </x:c>
      <x:c r="I816" s="2" t="str">
        <x:f>IF(H816&lt;3,H816&amp;"명","3명 이상")</x:f>
        <x:v>1명</x:v>
      </x:c>
      <x:c r="J816" s="2" t="str">
        <x:v>비흡연</x:v>
      </x:c>
      <x:c r="K816" s="2" t="str">
        <x:v>고혈압</x:v>
      </x:c>
      <x:c r="L816" s="2" t="str">
        <x:v>심혈관</x:v>
      </x:c>
      <x:c r="M816" s="2" t="str">
        <x:v>수호천사 암/건강보험</x:v>
      </x:c>
      <x:c r="N816" s="2" t="str">
        <x:f>VLOOKUP(M816,'분류기준'!$A$5:$B$8,2,FALSE)</x:f>
        <x:v>암/건강보험</x:v>
      </x:c>
      <x:c r="O816" s="2" t="str">
        <x:v>표적항암약물허가치료 특약</x:v>
      </x:c>
      <x:c r="P816" s="2" t="str">
        <x:f>IF(O816="선택 안함","선택 안함",IF(O816="특약 없음","특약 없음","가입"))</x:f>
        <x:v>가입</x:v>
      </x:c>
      <x:c r="Q816" s="2" t="str">
        <x:f>IF(P816="가입","가입","미가입")</x:f>
        <x:v>가입</x:v>
      </x:c>
    </x:row>
    <x:row r="817" ht="23" customHeight="1">
      <x:c r="A817" s="2" t="str">
        <x:v>C0425</x:v>
      </x:c>
      <x:c r="B817" s="7" t="n">
        <x:v>56</x:v>
      </x:c>
      <x:c r="C817" s="2" t="str">
        <x:f>INT(B817/10)*10&amp;"대"</x:f>
        <x:v>50대</x:v>
      </x:c>
      <x:c r="D817" s="2" t="str">
        <x:v>남성</x:v>
      </x:c>
      <x:c r="E817" s="7" t="n">
        <x:v>4000</x:v>
      </x:c>
      <x:c r="F817" s="7" t="n">
        <x:v>1</x:v>
      </x:c>
      <x:c r="G817" s="2" t="str">
        <x:v>기혼</x:v>
      </x:c>
      <x:c r="H817" s="7" t="n">
        <x:v>2</x:v>
      </x:c>
      <x:c r="I817" s="2" t="str">
        <x:f>IF(H817&lt;3,H817&amp;"명","3명 이상")</x:f>
        <x:v>2명</x:v>
      </x:c>
      <x:c r="J817" s="2" t="str">
        <x:v>흡연</x:v>
      </x:c>
      <x:c r="K817" s="2" t="str">
        <x:v>고혈압</x:v>
      </x:c>
      <x:c r="L817" s="2" t="str">
        <x:v>없음</x:v>
      </x:c>
      <x:c r="M817" s="2" t="str">
        <x:v>수호천사 우리가족 종신보험</x:v>
      </x:c>
      <x:c r="N817" s="2" t="str">
        <x:f>VLOOKUP(M817,'분류기준'!$A$5:$B$8,2,FALSE)</x:f>
        <x:v>종신보험</x:v>
      </x:c>
      <x:c r="O817" s="2" t="str">
        <x:v>가족 수입 보장 특약</x:v>
      </x:c>
      <x:c r="P817" s="2" t="str">
        <x:f>IF(O817="선택 안함","선택 안함",IF(O817="특약 없음","특약 없음","가입"))</x:f>
        <x:v>가입</x:v>
      </x:c>
      <x:c r="Q817" s="2" t="str">
        <x:f>IF(P817="가입","가입","미가입")</x:f>
        <x:v>가입</x:v>
      </x:c>
    </x:row>
    <x:row r="818" ht="23" customHeight="1">
      <x:c r="A818" s="2" t="str">
        <x:v>C0447</x:v>
      </x:c>
      <x:c r="B818" s="7" t="n">
        <x:v>56</x:v>
      </x:c>
      <x:c r="C818" s="2" t="str">
        <x:f>INT(B818/10)*10&amp;"대"</x:f>
        <x:v>50대</x:v>
      </x:c>
      <x:c r="D818" s="2" t="str">
        <x:v>남성</x:v>
      </x:c>
      <x:c r="E818" s="7" t="n">
        <x:v>4000</x:v>
      </x:c>
      <x:c r="F818" s="7" t="n">
        <x:v>1</x:v>
      </x:c>
      <x:c r="G818" s="2" t="str">
        <x:v>기혼</x:v>
      </x:c>
      <x:c r="H818" s="7" t="n">
        <x:v>2</x:v>
      </x:c>
      <x:c r="I818" s="2" t="str">
        <x:f>IF(H818&lt;3,H818&amp;"명","3명 이상")</x:f>
        <x:v>2명</x:v>
      </x:c>
      <x:c r="J818" s="2" t="str">
        <x:v>흡연</x:v>
      </x:c>
      <x:c r="K818" s="2" t="str">
        <x:v>없음</x:v>
      </x:c>
      <x:c r="L818" s="2" t="str">
        <x:v>없음</x:v>
      </x:c>
      <x:c r="M818" s="2" t="str">
        <x:v>수호천사 암/건강보험</x:v>
      </x:c>
      <x:c r="N818" s="2" t="str">
        <x:f>VLOOKUP(M818,'분류기준'!$A$5:$B$8,2,FALSE)</x:f>
        <x:v>암/건강보험</x:v>
      </x:c>
      <x:c r="O818" s="2" t="str">
        <x:v>선택 안함</x:v>
      </x:c>
      <x:c r="P818" s="2" t="str">
        <x:f>IF(O818="선택 안함","선택 안함",IF(O818="특약 없음","특약 없음","가입"))</x:f>
        <x:v>선택 안함</x:v>
      </x:c>
      <x:c r="Q818" s="2" t="str">
        <x:f>IF(P818="가입","가입","미가입")</x:f>
        <x:v>미가입</x:v>
      </x:c>
    </x:row>
    <x:row r="819" ht="23" customHeight="1">
      <x:c r="A819" s="2" t="str">
        <x:v>C0465</x:v>
      </x:c>
      <x:c r="B819" s="7" t="n">
        <x:v>56</x:v>
      </x:c>
      <x:c r="C819" s="2" t="str">
        <x:f>INT(B819/10)*10&amp;"대"</x:f>
        <x:v>50대</x:v>
      </x:c>
      <x:c r="D819" s="2" t="str">
        <x:v>여성</x:v>
      </x:c>
      <x:c r="E819" s="7" t="n">
        <x:v>7500</x:v>
      </x:c>
      <x:c r="F819" s="7" t="n">
        <x:v>1</x:v>
      </x:c>
      <x:c r="G819" s="2" t="str">
        <x:v>기혼</x:v>
      </x:c>
      <x:c r="H819" s="7" t="n">
        <x:v>0</x:v>
      </x:c>
      <x:c r="I819" s="2" t="str">
        <x:f>IF(H819&lt;3,H819&amp;"명","3명 이상")</x:f>
        <x:v>0명</x:v>
      </x:c>
      <x:c r="J819" s="2" t="str">
        <x:v>흡연</x:v>
      </x:c>
      <x:c r="K819" s="2" t="str">
        <x:v>고혈압</x:v>
      </x:c>
      <x:c r="L819" s="2" t="str">
        <x:v>없음</x:v>
      </x:c>
      <x:c r="M819" s="2" t="str">
        <x:v>수호천사 간편심사(유병자)보험</x:v>
      </x:c>
      <x:c r="N819" s="2" t="str">
        <x:f>VLOOKUP(M819,'분류기준'!$A$5:$B$8,2,FALSE)</x:f>
        <x:v>간편심사보험</x:v>
      </x:c>
      <x:c r="O819" s="2" t="str">
        <x:v>중증질환 산정특례 보장 특약</x:v>
      </x:c>
      <x:c r="P819" s="2" t="str">
        <x:f>IF(O819="선택 안함","선택 안함",IF(O819="특약 없음","특약 없음","가입"))</x:f>
        <x:v>가입</x:v>
      </x:c>
      <x:c r="Q819" s="2" t="str">
        <x:f>IF(P819="가입","가입","미가입")</x:f>
        <x:v>가입</x:v>
      </x:c>
    </x:row>
    <x:row r="820" ht="23" customHeight="1">
      <x:c r="A820" s="2" t="str">
        <x:v>C0493</x:v>
      </x:c>
      <x:c r="B820" s="7" t="n">
        <x:v>56</x:v>
      </x:c>
      <x:c r="C820" s="2" t="str">
        <x:f>INT(B820/10)*10&amp;"대"</x:f>
        <x:v>50대</x:v>
      </x:c>
      <x:c r="D820" s="2" t="str">
        <x:v>여성</x:v>
      </x:c>
      <x:c r="E820" s="7" t="n">
        <x:v>5000</x:v>
      </x:c>
      <x:c r="F820" s="7" t="n">
        <x:v>1</x:v>
      </x:c>
      <x:c r="G820" s="2" t="str">
        <x:v>기혼</x:v>
      </x:c>
      <x:c r="H820" s="7" t="n">
        <x:v>1</x:v>
      </x:c>
      <x:c r="I820" s="2" t="str">
        <x:f>IF(H820&lt;3,H820&amp;"명","3명 이상")</x:f>
        <x:v>1명</x:v>
      </x:c>
      <x:c r="J820" s="2" t="str">
        <x:v>비흡연</x:v>
      </x:c>
      <x:c r="K820" s="2" t="str">
        <x:v>없음</x:v>
      </x:c>
      <x:c r="L820" s="2" t="str">
        <x:v>암</x:v>
      </x:c>
      <x:c r="M820" s="2" t="str">
        <x:v>수호천사 행복 연금보험</x:v>
      </x:c>
      <x:c r="N820" s="2" t="str">
        <x:f>VLOOKUP(M820,'분류기준'!$A$5:$B$8,2,FALSE)</x:f>
        <x:v>연금보험</x:v>
      </x:c>
      <x:c r="O820" s="2" t="str">
        <x:v>특약 없음</x:v>
      </x:c>
      <x:c r="P820" s="2" t="str">
        <x:f>IF(O820="선택 안함","선택 안함",IF(O820="특약 없음","특약 없음","가입"))</x:f>
        <x:v>특약 없음</x:v>
      </x:c>
      <x:c r="Q820" s="2" t="str">
        <x:f>IF(P820="가입","가입","미가입")</x:f>
        <x:v>미가입</x:v>
      </x:c>
    </x:row>
    <x:row r="821" ht="23" customHeight="1">
      <x:c r="A821" s="2" t="str">
        <x:v>C0529</x:v>
      </x:c>
      <x:c r="B821" s="7" t="n">
        <x:v>56</x:v>
      </x:c>
      <x:c r="C821" s="2" t="str">
        <x:f>INT(B821/10)*10&amp;"대"</x:f>
        <x:v>50대</x:v>
      </x:c>
      <x:c r="D821" s="2" t="str">
        <x:v>남성</x:v>
      </x:c>
      <x:c r="E821" s="7" t="n">
        <x:v>3000</x:v>
      </x:c>
      <x:c r="F821" s="7" t="n">
        <x:v>1</x:v>
      </x:c>
      <x:c r="G821" s="2" t="str">
        <x:v>기혼</x:v>
      </x:c>
      <x:c r="H821" s="7" t="n">
        <x:v>0</x:v>
      </x:c>
      <x:c r="I821" s="2" t="str">
        <x:f>IF(H821&lt;3,H821&amp;"명","3명 이상")</x:f>
        <x:v>0명</x:v>
      </x:c>
      <x:c r="J821" s="2" t="str">
        <x:v>비흡연</x:v>
      </x:c>
      <x:c r="K821" s="2" t="str">
        <x:v>고혈압</x:v>
      </x:c>
      <x:c r="L821" s="2" t="str">
        <x:v>없음</x:v>
      </x:c>
      <x:c r="M821" s="2" t="str">
        <x:v>수호천사 간편심사(유병자)보험</x:v>
      </x:c>
      <x:c r="N821" s="2" t="str">
        <x:f>VLOOKUP(M821,'분류기준'!$A$5:$B$8,2,FALSE)</x:f>
        <x:v>간편심사보험</x:v>
      </x:c>
      <x:c r="O821" s="2" t="str">
        <x:v>중증질환 산정특례 보장 특약</x:v>
      </x:c>
      <x:c r="P821" s="2" t="str">
        <x:f>IF(O821="선택 안함","선택 안함",IF(O821="특약 없음","특약 없음","가입"))</x:f>
        <x:v>가입</x:v>
      </x:c>
      <x:c r="Q821" s="2" t="str">
        <x:f>IF(P821="가입","가입","미가입")</x:f>
        <x:v>가입</x:v>
      </x:c>
    </x:row>
    <x:row r="822" ht="23" customHeight="1">
      <x:c r="A822" s="2" t="str">
        <x:v>C0541</x:v>
      </x:c>
      <x:c r="B822" s="7" t="n">
        <x:v>56</x:v>
      </x:c>
      <x:c r="C822" s="2" t="str">
        <x:f>INT(B822/10)*10&amp;"대"</x:f>
        <x:v>50대</x:v>
      </x:c>
      <x:c r="D822" s="2" t="str">
        <x:v>남성</x:v>
      </x:c>
      <x:c r="E822" s="7" t="n">
        <x:v>3000</x:v>
      </x:c>
      <x:c r="F822" s="7" t="n">
        <x:v>1</x:v>
      </x:c>
      <x:c r="G822" s="2" t="str">
        <x:v>기혼</x:v>
      </x:c>
      <x:c r="H822" s="7" t="n">
        <x:v>1</x:v>
      </x:c>
      <x:c r="I822" s="2" t="str">
        <x:f>IF(H822&lt;3,H822&amp;"명","3명 이상")</x:f>
        <x:v>1명</x:v>
      </x:c>
      <x:c r="J822" s="2" t="str">
        <x:v>흡연</x:v>
      </x:c>
      <x:c r="K822" s="2" t="str">
        <x:v>없음</x:v>
      </x:c>
      <x:c r="L822" s="2" t="str">
        <x:v>없음</x:v>
      </x:c>
      <x:c r="M822" s="2" t="str">
        <x:v>수호천사 우리가족 종신보험</x:v>
      </x:c>
      <x:c r="N822" s="2" t="str">
        <x:f>VLOOKUP(M822,'분류기준'!$A$5:$B$8,2,FALSE)</x:f>
        <x:v>종신보험</x:v>
      </x:c>
      <x:c r="O822" s="2" t="str">
        <x:v>가족 수입 보장 특약</x:v>
      </x:c>
      <x:c r="P822" s="2" t="str">
        <x:f>IF(O822="선택 안함","선택 안함",IF(O822="특약 없음","특약 없음","가입"))</x:f>
        <x:v>가입</x:v>
      </x:c>
      <x:c r="Q822" s="2" t="str">
        <x:f>IF(P822="가입","가입","미가입")</x:f>
        <x:v>가입</x:v>
      </x:c>
    </x:row>
    <x:row r="823" ht="23" customHeight="1">
      <x:c r="A823" s="2" t="str">
        <x:v>C0604</x:v>
      </x:c>
      <x:c r="B823" s="7" t="n">
        <x:v>56</x:v>
      </x:c>
      <x:c r="C823" s="2" t="str">
        <x:f>INT(B823/10)*10&amp;"대"</x:f>
        <x:v>50대</x:v>
      </x:c>
      <x:c r="D823" s="2" t="str">
        <x:v>여성</x:v>
      </x:c>
      <x:c r="E823" s="7" t="n">
        <x:v>6000</x:v>
      </x:c>
      <x:c r="F823" s="7" t="n">
        <x:v>1</x:v>
      </x:c>
      <x:c r="G823" s="2" t="str">
        <x:v>기혼</x:v>
      </x:c>
      <x:c r="H823" s="7" t="n">
        <x:v>0</x:v>
      </x:c>
      <x:c r="I823" s="2" t="str">
        <x:f>IF(H823&lt;3,H823&amp;"명","3명 이상")</x:f>
        <x:v>0명</x:v>
      </x:c>
      <x:c r="J823" s="2" t="str">
        <x:v>비흡연</x:v>
      </x:c>
      <x:c r="K823" s="2" t="str">
        <x:v>없음</x:v>
      </x:c>
      <x:c r="L823" s="2" t="str">
        <x:v>심혈관</x:v>
      </x:c>
      <x:c r="M823" s="2" t="str">
        <x:v>수호천사 행복 연금보험</x:v>
      </x:c>
      <x:c r="N823" s="2" t="str">
        <x:f>VLOOKUP(M823,'분류기준'!$A$5:$B$8,2,FALSE)</x:f>
        <x:v>연금보험</x:v>
      </x:c>
      <x:c r="O823" s="2" t="str">
        <x:v>특약 없음</x:v>
      </x:c>
      <x:c r="P823" s="2" t="str">
        <x:f>IF(O823="선택 안함","선택 안함",IF(O823="특약 없음","특약 없음","가입"))</x:f>
        <x:v>특약 없음</x:v>
      </x:c>
      <x:c r="Q823" s="2" t="str">
        <x:f>IF(P823="가입","가입","미가입")</x:f>
        <x:v>미가입</x:v>
      </x:c>
    </x:row>
    <x:row r="824" ht="23" customHeight="1">
      <x:c r="A824" s="2" t="str">
        <x:v>C0652</x:v>
      </x:c>
      <x:c r="B824" s="7" t="n">
        <x:v>56</x:v>
      </x:c>
      <x:c r="C824" s="2" t="str">
        <x:f>INT(B824/10)*10&amp;"대"</x:f>
        <x:v>50대</x:v>
      </x:c>
      <x:c r="D824" s="2" t="str">
        <x:v>남성</x:v>
      </x:c>
      <x:c r="E824" s="7" t="n">
        <x:v>3000</x:v>
      </x:c>
      <x:c r="F824" s="7" t="n">
        <x:v>2</x:v>
      </x:c>
      <x:c r="G824" s="2" t="str">
        <x:v>미혼</x:v>
      </x:c>
      <x:c r="H824" s="7" t="n">
        <x:v>0</x:v>
      </x:c>
      <x:c r="I824" s="2" t="str">
        <x:f>IF(H824&lt;3,H824&amp;"명","3명 이상")</x:f>
        <x:v>0명</x:v>
      </x:c>
      <x:c r="J824" s="2" t="str">
        <x:v>흡연</x:v>
      </x:c>
      <x:c r="K824" s="2" t="str">
        <x:v>당뇨</x:v>
      </x:c>
      <x:c r="L824" s="2" t="str">
        <x:v>없음</x:v>
      </x:c>
      <x:c r="M824" s="2" t="str">
        <x:v>수호천사 간편심사(유병자)보험</x:v>
      </x:c>
      <x:c r="N824" s="2" t="str">
        <x:f>VLOOKUP(M824,'분류기준'!$A$5:$B$8,2,FALSE)</x:f>
        <x:v>간편심사보험</x:v>
      </x:c>
      <x:c r="O824" s="2" t="str">
        <x:v>중증질환 산정특례 보장 특약</x:v>
      </x:c>
      <x:c r="P824" s="2" t="str">
        <x:f>IF(O824="선택 안함","선택 안함",IF(O824="특약 없음","특약 없음","가입"))</x:f>
        <x:v>가입</x:v>
      </x:c>
      <x:c r="Q824" s="2" t="str">
        <x:f>IF(P824="가입","가입","미가입")</x:f>
        <x:v>가입</x:v>
      </x:c>
    </x:row>
    <x:row r="825" ht="23" customHeight="1">
      <x:c r="A825" s="2" t="str">
        <x:v>C0683</x:v>
      </x:c>
      <x:c r="B825" s="7" t="n">
        <x:v>56</x:v>
      </x:c>
      <x:c r="C825" s="2" t="str">
        <x:f>INT(B825/10)*10&amp;"대"</x:f>
        <x:v>50대</x:v>
      </x:c>
      <x:c r="D825" s="2" t="str">
        <x:v>여성</x:v>
      </x:c>
      <x:c r="E825" s="7" t="n">
        <x:v>5000</x:v>
      </x:c>
      <x:c r="F825" s="7" t="n">
        <x:v>1</x:v>
      </x:c>
      <x:c r="G825" s="2" t="str">
        <x:v>기혼</x:v>
      </x:c>
      <x:c r="H825" s="7" t="n">
        <x:v>1</x:v>
      </x:c>
      <x:c r="I825" s="2" t="str">
        <x:f>IF(H825&lt;3,H825&amp;"명","3명 이상")</x:f>
        <x:v>1명</x:v>
      </x:c>
      <x:c r="J825" s="2" t="str">
        <x:v>흡연</x:v>
      </x:c>
      <x:c r="K825" s="2" t="str">
        <x:v>없음</x:v>
      </x:c>
      <x:c r="L825" s="2" t="str">
        <x:v>심혈관</x:v>
      </x:c>
      <x:c r="M825" s="2" t="str">
        <x:v>수호천사 암/건강보험</x:v>
      </x:c>
      <x:c r="N825" s="2" t="str">
        <x:f>VLOOKUP(M825,'분류기준'!$A$5:$B$8,2,FALSE)</x:f>
        <x:v>암/건강보험</x:v>
      </x:c>
      <x:c r="O825" s="2" t="str">
        <x:v>표적항암약물허가치료 특약</x:v>
      </x:c>
      <x:c r="P825" s="2" t="str">
        <x:f>IF(O825="선택 안함","선택 안함",IF(O825="특약 없음","특약 없음","가입"))</x:f>
        <x:v>가입</x:v>
      </x:c>
      <x:c r="Q825" s="2" t="str">
        <x:f>IF(P825="가입","가입","미가입")</x:f>
        <x:v>가입</x:v>
      </x:c>
    </x:row>
    <x:row r="826" ht="23" customHeight="1">
      <x:c r="A826" s="2" t="str">
        <x:v>C0732</x:v>
      </x:c>
      <x:c r="B826" s="7" t="n">
        <x:v>56</x:v>
      </x:c>
      <x:c r="C826" s="2" t="str">
        <x:f>INT(B826/10)*10&amp;"대"</x:f>
        <x:v>50대</x:v>
      </x:c>
      <x:c r="D826" s="2" t="str">
        <x:v>남성</x:v>
      </x:c>
      <x:c r="E826" s="7" t="n">
        <x:v>5000</x:v>
      </x:c>
      <x:c r="F826" s="7" t="n">
        <x:v>3</x:v>
      </x:c>
      <x:c r="G826" s="2" t="str">
        <x:v>기혼</x:v>
      </x:c>
      <x:c r="H826" s="7" t="n">
        <x:v>0</x:v>
      </x:c>
      <x:c r="I826" s="2" t="str">
        <x:f>IF(H826&lt;3,H826&amp;"명","3명 이상")</x:f>
        <x:v>0명</x:v>
      </x:c>
      <x:c r="J826" s="2" t="str">
        <x:v>비흡연</x:v>
      </x:c>
      <x:c r="K826" s="2" t="str">
        <x:v>당뇨</x:v>
      </x:c>
      <x:c r="L826" s="2" t="str">
        <x:v>없음</x:v>
      </x:c>
      <x:c r="M826" s="2" t="str">
        <x:v>수호천사 행복 연금보험</x:v>
      </x:c>
      <x:c r="N826" s="2" t="str">
        <x:f>VLOOKUP(M826,'분류기준'!$A$5:$B$8,2,FALSE)</x:f>
        <x:v>연금보험</x:v>
      </x:c>
      <x:c r="O826" s="2" t="str">
        <x:v>특약 없음</x:v>
      </x:c>
      <x:c r="P826" s="2" t="str">
        <x:f>IF(O826="선택 안함","선택 안함",IF(O826="특약 없음","특약 없음","가입"))</x:f>
        <x:v>특약 없음</x:v>
      </x:c>
      <x:c r="Q826" s="2" t="str">
        <x:f>IF(P826="가입","가입","미가입")</x:f>
        <x:v>미가입</x:v>
      </x:c>
    </x:row>
    <x:row r="827" ht="23" customHeight="1">
      <x:c r="A827" s="2" t="str">
        <x:v>C0733</x:v>
      </x:c>
      <x:c r="B827" s="7" t="n">
        <x:v>56</x:v>
      </x:c>
      <x:c r="C827" s="2" t="str">
        <x:f>INT(B827/10)*10&amp;"대"</x:f>
        <x:v>50대</x:v>
      </x:c>
      <x:c r="D827" s="2" t="str">
        <x:v>여성</x:v>
      </x:c>
      <x:c r="E827" s="7" t="n">
        <x:v>12000</x:v>
      </x:c>
      <x:c r="F827" s="7" t="n">
        <x:v>1</x:v>
      </x:c>
      <x:c r="G827" s="2" t="str">
        <x:v>기혼</x:v>
      </x:c>
      <x:c r="H827" s="7" t="n">
        <x:v>1</x:v>
      </x:c>
      <x:c r="I827" s="2" t="str">
        <x:f>IF(H827&lt;3,H827&amp;"명","3명 이상")</x:f>
        <x:v>1명</x:v>
      </x:c>
      <x:c r="J827" s="2" t="str">
        <x:v>비흡연</x:v>
      </x:c>
      <x:c r="K827" s="2" t="str">
        <x:v>고혈압</x:v>
      </x:c>
      <x:c r="L827" s="2" t="str">
        <x:v>암</x:v>
      </x:c>
      <x:c r="M827" s="2" t="str">
        <x:v>수호천사 간편심사(유병자)보험</x:v>
      </x:c>
      <x:c r="N827" s="2" t="str">
        <x:f>VLOOKUP(M827,'분류기준'!$A$5:$B$8,2,FALSE)</x:f>
        <x:v>간편심사보험</x:v>
      </x:c>
      <x:c r="O827" s="2" t="str">
        <x:v>중증질환 산정특례 보장 특약</x:v>
      </x:c>
      <x:c r="P827" s="2" t="str">
        <x:f>IF(O827="선택 안함","선택 안함",IF(O827="특약 없음","특약 없음","가입"))</x:f>
        <x:v>가입</x:v>
      </x:c>
      <x:c r="Q827" s="2" t="str">
        <x:f>IF(P827="가입","가입","미가입")</x:f>
        <x:v>가입</x:v>
      </x:c>
    </x:row>
    <x:row r="828" ht="23" customHeight="1">
      <x:c r="A828" s="2" t="str">
        <x:v>C0766</x:v>
      </x:c>
      <x:c r="B828" s="7" t="n">
        <x:v>56</x:v>
      </x:c>
      <x:c r="C828" s="2" t="str">
        <x:f>INT(B828/10)*10&amp;"대"</x:f>
        <x:v>50대</x:v>
      </x:c>
      <x:c r="D828" s="2" t="str">
        <x:v>여성</x:v>
      </x:c>
      <x:c r="E828" s="7" t="n">
        <x:v>4000</x:v>
      </x:c>
      <x:c r="F828" s="7" t="n">
        <x:v>1</x:v>
      </x:c>
      <x:c r="G828" s="2" t="str">
        <x:v>기혼</x:v>
      </x:c>
      <x:c r="H828" s="7" t="n">
        <x:v>2</x:v>
      </x:c>
      <x:c r="I828" s="2" t="str">
        <x:f>IF(H828&lt;3,H828&amp;"명","3명 이상")</x:f>
        <x:v>2명</x:v>
      </x:c>
      <x:c r="J828" s="2" t="str">
        <x:v>비흡연</x:v>
      </x:c>
      <x:c r="K828" s="2" t="str">
        <x:v>없음</x:v>
      </x:c>
      <x:c r="L828" s="2" t="str">
        <x:v>없음</x:v>
      </x:c>
      <x:c r="M828" s="2" t="str">
        <x:v>수호천사 행복 연금보험</x:v>
      </x:c>
      <x:c r="N828" s="2" t="str">
        <x:f>VLOOKUP(M828,'분류기준'!$A$5:$B$8,2,FALSE)</x:f>
        <x:v>연금보험</x:v>
      </x:c>
      <x:c r="O828" s="2" t="str">
        <x:v>특약 없음</x:v>
      </x:c>
      <x:c r="P828" s="2" t="str">
        <x:f>IF(O828="선택 안함","선택 안함",IF(O828="특약 없음","특약 없음","가입"))</x:f>
        <x:v>특약 없음</x:v>
      </x:c>
      <x:c r="Q828" s="2" t="str">
        <x:f>IF(P828="가입","가입","미가입")</x:f>
        <x:v>미가입</x:v>
      </x:c>
    </x:row>
    <x:row r="829" ht="23" customHeight="1">
      <x:c r="A829" s="2" t="str">
        <x:v>C0875</x:v>
      </x:c>
      <x:c r="B829" s="7" t="n">
        <x:v>56</x:v>
      </x:c>
      <x:c r="C829" s="2" t="str">
        <x:f>INT(B829/10)*10&amp;"대"</x:f>
        <x:v>50대</x:v>
      </x:c>
      <x:c r="D829" s="2" t="str">
        <x:v>남성</x:v>
      </x:c>
      <x:c r="E829" s="7" t="n">
        <x:v>3000</x:v>
      </x:c>
      <x:c r="F829" s="7" t="n">
        <x:v>3</x:v>
      </x:c>
      <x:c r="G829" s="2" t="str">
        <x:v>기혼</x:v>
      </x:c>
      <x:c r="H829" s="7" t="n">
        <x:v>2</x:v>
      </x:c>
      <x:c r="I829" s="2" t="str">
        <x:f>IF(H829&lt;3,H829&amp;"명","3명 이상")</x:f>
        <x:v>2명</x:v>
      </x:c>
      <x:c r="J829" s="2" t="str">
        <x:v>비흡연</x:v>
      </x:c>
      <x:c r="K829" s="2" t="str">
        <x:v>고혈압</x:v>
      </x:c>
      <x:c r="L829" s="2" t="str">
        <x:v>없음</x:v>
      </x:c>
      <x:c r="M829" s="2" t="str">
        <x:v>수호천사 간편심사(유병자)보험</x:v>
      </x:c>
      <x:c r="N829" s="2" t="str">
        <x:f>VLOOKUP(M829,'분류기준'!$A$5:$B$8,2,FALSE)</x:f>
        <x:v>간편심사보험</x:v>
      </x:c>
      <x:c r="O829" s="2" t="str">
        <x:v>중증질환 산정특례 보장 특약</x:v>
      </x:c>
      <x:c r="P829" s="2" t="str">
        <x:f>IF(O829="선택 안함","선택 안함",IF(O829="특약 없음","특약 없음","가입"))</x:f>
        <x:v>가입</x:v>
      </x:c>
      <x:c r="Q829" s="2" t="str">
        <x:f>IF(P829="가입","가입","미가입")</x:f>
        <x:v>가입</x:v>
      </x:c>
    </x:row>
    <x:row r="830" ht="23" customHeight="1">
      <x:c r="A830" s="2" t="str">
        <x:v>C0904</x:v>
      </x:c>
      <x:c r="B830" s="7" t="n">
        <x:v>56</x:v>
      </x:c>
      <x:c r="C830" s="2" t="str">
        <x:f>INT(B830/10)*10&amp;"대"</x:f>
        <x:v>50대</x:v>
      </x:c>
      <x:c r="D830" s="2" t="str">
        <x:v>남성</x:v>
      </x:c>
      <x:c r="E830" s="7" t="n">
        <x:v>3000</x:v>
      </x:c>
      <x:c r="F830" s="7" t="n">
        <x:v>1</x:v>
      </x:c>
      <x:c r="G830" s="2" t="str">
        <x:v>기혼</x:v>
      </x:c>
      <x:c r="H830" s="7" t="n">
        <x:v>2</x:v>
      </x:c>
      <x:c r="I830" s="2" t="str">
        <x:f>IF(H830&lt;3,H830&amp;"명","3명 이상")</x:f>
        <x:v>2명</x:v>
      </x:c>
      <x:c r="J830" s="2" t="str">
        <x:v>비흡연</x:v>
      </x:c>
      <x:c r="K830" s="2" t="str">
        <x:v>고혈압</x:v>
      </x:c>
      <x:c r="L830" s="2" t="str">
        <x:v>없음</x:v>
      </x:c>
      <x:c r="M830" s="2" t="str">
        <x:v>수호천사 간편심사(유병자)보험</x:v>
      </x:c>
      <x:c r="N830" s="2" t="str">
        <x:f>VLOOKUP(M830,'분류기준'!$A$5:$B$8,2,FALSE)</x:f>
        <x:v>간편심사보험</x:v>
      </x:c>
      <x:c r="O830" s="2" t="str">
        <x:v>중증질환 산정특례 보장 특약</x:v>
      </x:c>
      <x:c r="P830" s="2" t="str">
        <x:f>IF(O830="선택 안함","선택 안함",IF(O830="특약 없음","특약 없음","가입"))</x:f>
        <x:v>가입</x:v>
      </x:c>
      <x:c r="Q830" s="2" t="str">
        <x:f>IF(P830="가입","가입","미가입")</x:f>
        <x:v>가입</x:v>
      </x:c>
    </x:row>
    <x:row r="831" ht="23" customHeight="1">
      <x:c r="A831" s="2" t="str">
        <x:v>C0910</x:v>
      </x:c>
      <x:c r="B831" s="7" t="n">
        <x:v>56</x:v>
      </x:c>
      <x:c r="C831" s="2" t="str">
        <x:f>INT(B831/10)*10&amp;"대"</x:f>
        <x:v>50대</x:v>
      </x:c>
      <x:c r="D831" s="2" t="str">
        <x:v>여성</x:v>
      </x:c>
      <x:c r="E831" s="7" t="n">
        <x:v>3000</x:v>
      </x:c>
      <x:c r="F831" s="7" t="n">
        <x:v>1</x:v>
      </x:c>
      <x:c r="G831" s="2" t="str">
        <x:v>기혼</x:v>
      </x:c>
      <x:c r="H831" s="7" t="n">
        <x:v>1</x:v>
      </x:c>
      <x:c r="I831" s="2" t="str">
        <x:f>IF(H831&lt;3,H831&amp;"명","3명 이상")</x:f>
        <x:v>1명</x:v>
      </x:c>
      <x:c r="J831" s="2" t="str">
        <x:v>비흡연</x:v>
      </x:c>
      <x:c r="K831" s="2" t="str">
        <x:v>당뇨</x:v>
      </x:c>
      <x:c r="L831" s="2" t="str">
        <x:v>심혈관</x:v>
      </x:c>
      <x:c r="M831" s="2" t="str">
        <x:v>수호천사 간편심사(유병자)보험</x:v>
      </x:c>
      <x:c r="N831" s="2" t="str">
        <x:f>VLOOKUP(M831,'분류기준'!$A$5:$B$8,2,FALSE)</x:f>
        <x:v>간편심사보험</x:v>
      </x:c>
      <x:c r="O831" s="2" t="str">
        <x:v>선택 안함</x:v>
      </x:c>
      <x:c r="P831" s="2" t="str">
        <x:f>IF(O831="선택 안함","선택 안함",IF(O831="특약 없음","특약 없음","가입"))</x:f>
        <x:v>선택 안함</x:v>
      </x:c>
      <x:c r="Q831" s="2" t="str">
        <x:f>IF(P831="가입","가입","미가입")</x:f>
        <x:v>미가입</x:v>
      </x:c>
    </x:row>
    <x:row r="832" ht="23" customHeight="1">
      <x:c r="A832" s="2" t="str">
        <x:v>C0926</x:v>
      </x:c>
      <x:c r="B832" s="7" t="n">
        <x:v>56</x:v>
      </x:c>
      <x:c r="C832" s="2" t="str">
        <x:f>INT(B832/10)*10&amp;"대"</x:f>
        <x:v>50대</x:v>
      </x:c>
      <x:c r="D832" s="2" t="str">
        <x:v>남성</x:v>
      </x:c>
      <x:c r="E832" s="7" t="n">
        <x:v>5000</x:v>
      </x:c>
      <x:c r="F832" s="7" t="n">
        <x:v>2</x:v>
      </x:c>
      <x:c r="G832" s="2" t="str">
        <x:v>기혼</x:v>
      </x:c>
      <x:c r="H832" s="7" t="n">
        <x:v>1</x:v>
      </x:c>
      <x:c r="I832" s="2" t="str">
        <x:f>IF(H832&lt;3,H832&amp;"명","3명 이상")</x:f>
        <x:v>1명</x:v>
      </x:c>
      <x:c r="J832" s="2" t="str">
        <x:v>비흡연</x:v>
      </x:c>
      <x:c r="K832" s="2" t="str">
        <x:v>고혈압</x:v>
      </x:c>
      <x:c r="L832" s="2" t="str">
        <x:v>암</x:v>
      </x:c>
      <x:c r="M832" s="2" t="str">
        <x:v>수호천사 간편심사(유병자)보험</x:v>
      </x:c>
      <x:c r="N832" s="2" t="str">
        <x:f>VLOOKUP(M832,'분류기준'!$A$5:$B$8,2,FALSE)</x:f>
        <x:v>간편심사보험</x:v>
      </x:c>
      <x:c r="O832" s="2" t="str">
        <x:v>중증질환 산정특례 보장 특약</x:v>
      </x:c>
      <x:c r="P832" s="2" t="str">
        <x:f>IF(O832="선택 안함","선택 안함",IF(O832="특약 없음","특약 없음","가입"))</x:f>
        <x:v>가입</x:v>
      </x:c>
      <x:c r="Q832" s="2" t="str">
        <x:f>IF(P832="가입","가입","미가입")</x:f>
        <x:v>가입</x:v>
      </x:c>
    </x:row>
    <x:row r="833" ht="23" customHeight="1">
      <x:c r="A833" s="2" t="str">
        <x:v>C0960</x:v>
      </x:c>
      <x:c r="B833" s="7" t="n">
        <x:v>56</x:v>
      </x:c>
      <x:c r="C833" s="2" t="str">
        <x:f>INT(B833/10)*10&amp;"대"</x:f>
        <x:v>50대</x:v>
      </x:c>
      <x:c r="D833" s="2" t="str">
        <x:v>여성</x:v>
      </x:c>
      <x:c r="E833" s="7" t="n">
        <x:v>4000</x:v>
      </x:c>
      <x:c r="F833" s="7" t="n">
        <x:v>1</x:v>
      </x:c>
      <x:c r="G833" s="2" t="str">
        <x:v>기혼</x:v>
      </x:c>
      <x:c r="H833" s="7" t="n">
        <x:v>2</x:v>
      </x:c>
      <x:c r="I833" s="2" t="str">
        <x:f>IF(H833&lt;3,H833&amp;"명","3명 이상")</x:f>
        <x:v>2명</x:v>
      </x:c>
      <x:c r="J833" s="2" t="str">
        <x:v>흡연</x:v>
      </x:c>
      <x:c r="K833" s="2" t="str">
        <x:v>없음</x:v>
      </x:c>
      <x:c r="L833" s="2" t="str">
        <x:v>없음</x:v>
      </x:c>
      <x:c r="M833" s="2" t="str">
        <x:v>수호천사 간편심사(유병자)보험</x:v>
      </x:c>
      <x:c r="N833" s="2" t="str">
        <x:f>VLOOKUP(M833,'분류기준'!$A$5:$B$8,2,FALSE)</x:f>
        <x:v>간편심사보험</x:v>
      </x:c>
      <x:c r="O833" s="2" t="str">
        <x:v>중증질환 산정특례 보장 특약</x:v>
      </x:c>
      <x:c r="P833" s="2" t="str">
        <x:f>IF(O833="선택 안함","선택 안함",IF(O833="특약 없음","특약 없음","가입"))</x:f>
        <x:v>가입</x:v>
      </x:c>
      <x:c r="Q833" s="2" t="str">
        <x:f>IF(P833="가입","가입","미가입")</x:f>
        <x:v>가입</x:v>
      </x:c>
    </x:row>
    <x:row r="834" ht="23" customHeight="1">
      <x:c r="A834" s="2" t="str">
        <x:v>C0979</x:v>
      </x:c>
      <x:c r="B834" s="7" t="n">
        <x:v>56</x:v>
      </x:c>
      <x:c r="C834" s="2" t="str">
        <x:f>INT(B834/10)*10&amp;"대"</x:f>
        <x:v>50대</x:v>
      </x:c>
      <x:c r="D834" s="2" t="str">
        <x:v>여성</x:v>
      </x:c>
      <x:c r="E834" s="7" t="n">
        <x:v>7500</x:v>
      </x:c>
      <x:c r="F834" s="7" t="n">
        <x:v>1</x:v>
      </x:c>
      <x:c r="G834" s="2" t="str">
        <x:v>기혼</x:v>
      </x:c>
      <x:c r="H834" s="7" t="n">
        <x:v>2</x:v>
      </x:c>
      <x:c r="I834" s="2" t="str">
        <x:f>IF(H834&lt;3,H834&amp;"명","3명 이상")</x:f>
        <x:v>2명</x:v>
      </x:c>
      <x:c r="J834" s="2" t="str">
        <x:v>비흡연</x:v>
      </x:c>
      <x:c r="K834" s="2" t="str">
        <x:v>고혈압</x:v>
      </x:c>
      <x:c r="L834" s="2" t="str">
        <x:v>암</x:v>
      </x:c>
      <x:c r="M834" s="2" t="str">
        <x:v>수호천사 우리가족 종신보험</x:v>
      </x:c>
      <x:c r="N834" s="2" t="str">
        <x:f>VLOOKUP(M834,'분류기준'!$A$5:$B$8,2,FALSE)</x:f>
        <x:v>종신보험</x:v>
      </x:c>
      <x:c r="O834" s="2" t="str">
        <x:v>가족 수입 보장 특약</x:v>
      </x:c>
      <x:c r="P834" s="2" t="str">
        <x:f>IF(O834="선택 안함","선택 안함",IF(O834="특약 없음","특약 없음","가입"))</x:f>
        <x:v>가입</x:v>
      </x:c>
      <x:c r="Q834" s="2" t="str">
        <x:f>IF(P834="가입","가입","미가입")</x:f>
        <x:v>가입</x:v>
      </x:c>
    </x:row>
    <x:row r="835" ht="23" customHeight="1">
      <x:c r="A835" s="2" t="str">
        <x:v>C0022</x:v>
      </x:c>
      <x:c r="B835" s="7" t="n">
        <x:v>57</x:v>
      </x:c>
      <x:c r="C835" s="2" t="str">
        <x:f>INT(B835/10)*10&amp;"대"</x:f>
        <x:v>50대</x:v>
      </x:c>
      <x:c r="D835" s="2" t="str">
        <x:v>남성</x:v>
      </x:c>
      <x:c r="E835" s="7" t="n">
        <x:v>3000</x:v>
      </x:c>
      <x:c r="F835" s="7" t="n">
        <x:v>2</x:v>
      </x:c>
      <x:c r="G835" s="2" t="str">
        <x:v>기혼</x:v>
      </x:c>
      <x:c r="H835" s="7" t="n">
        <x:v>1</x:v>
      </x:c>
      <x:c r="I835" s="2" t="str">
        <x:f>IF(H835&lt;3,H835&amp;"명","3명 이상")</x:f>
        <x:v>1명</x:v>
      </x:c>
      <x:c r="J835" s="2" t="str">
        <x:v>흡연</x:v>
      </x:c>
      <x:c r="K835" s="2" t="str">
        <x:v>없음</x:v>
      </x:c>
      <x:c r="L835" s="2" t="str">
        <x:v>없음</x:v>
      </x:c>
      <x:c r="M835" s="2" t="str">
        <x:v>수호천사 암/건강보험</x:v>
      </x:c>
      <x:c r="N835" s="2" t="str">
        <x:f>VLOOKUP(M835,'분류기준'!$A$5:$B$8,2,FALSE)</x:f>
        <x:v>암/건강보험</x:v>
      </x:c>
      <x:c r="O835" s="2" t="str">
        <x:v>수술비 보장 특약</x:v>
      </x:c>
      <x:c r="P835" s="2" t="str">
        <x:f>IF(O835="선택 안함","선택 안함",IF(O835="특약 없음","특약 없음","가입"))</x:f>
        <x:v>가입</x:v>
      </x:c>
      <x:c r="Q835" s="2" t="str">
        <x:f>IF(P835="가입","가입","미가입")</x:f>
        <x:v>가입</x:v>
      </x:c>
    </x:row>
    <x:row r="836" ht="23" customHeight="1">
      <x:c r="A836" s="2" t="str">
        <x:v>C0219</x:v>
      </x:c>
      <x:c r="B836" s="7" t="n">
        <x:v>57</x:v>
      </x:c>
      <x:c r="C836" s="2" t="str">
        <x:f>INT(B836/10)*10&amp;"대"</x:f>
        <x:v>50대</x:v>
      </x:c>
      <x:c r="D836" s="2" t="str">
        <x:v>남성</x:v>
      </x:c>
      <x:c r="E836" s="7" t="n">
        <x:v>6000</x:v>
      </x:c>
      <x:c r="F836" s="7" t="n">
        <x:v>3</x:v>
      </x:c>
      <x:c r="G836" s="2" t="str">
        <x:v>기혼</x:v>
      </x:c>
      <x:c r="H836" s="7" t="n">
        <x:v>2</x:v>
      </x:c>
      <x:c r="I836" s="2" t="str">
        <x:f>IF(H836&lt;3,H836&amp;"명","3명 이상")</x:f>
        <x:v>2명</x:v>
      </x:c>
      <x:c r="J836" s="2" t="str">
        <x:v>비흡연</x:v>
      </x:c>
      <x:c r="K836" s="2" t="str">
        <x:v>당뇨</x:v>
      </x:c>
      <x:c r="L836" s="2" t="str">
        <x:v>없음</x:v>
      </x:c>
      <x:c r="M836" s="2" t="str">
        <x:v>수호천사 간편심사(유병자)보험</x:v>
      </x:c>
      <x:c r="N836" s="2" t="str">
        <x:f>VLOOKUP(M836,'분류기준'!$A$5:$B$8,2,FALSE)</x:f>
        <x:v>간편심사보험</x:v>
      </x:c>
      <x:c r="O836" s="2" t="str">
        <x:v>중증질환 산정특례 보장 특약</x:v>
      </x:c>
      <x:c r="P836" s="2" t="str">
        <x:f>IF(O836="선택 안함","선택 안함",IF(O836="특약 없음","특약 없음","가입"))</x:f>
        <x:v>가입</x:v>
      </x:c>
      <x:c r="Q836" s="2" t="str">
        <x:f>IF(P836="가입","가입","미가입")</x:f>
        <x:v>가입</x:v>
      </x:c>
    </x:row>
    <x:row r="837" ht="23" customHeight="1">
      <x:c r="A837" s="2" t="str">
        <x:v>C0279</x:v>
      </x:c>
      <x:c r="B837" s="7" t="n">
        <x:v>57</x:v>
      </x:c>
      <x:c r="C837" s="2" t="str">
        <x:f>INT(B837/10)*10&amp;"대"</x:f>
        <x:v>50대</x:v>
      </x:c>
      <x:c r="D837" s="2" t="str">
        <x:v>여성</x:v>
      </x:c>
      <x:c r="E837" s="7" t="n">
        <x:v>4000</x:v>
      </x:c>
      <x:c r="F837" s="7" t="n">
        <x:v>1</x:v>
      </x:c>
      <x:c r="G837" s="2" t="str">
        <x:v>기혼</x:v>
      </x:c>
      <x:c r="H837" s="7" t="n">
        <x:v>1</x:v>
      </x:c>
      <x:c r="I837" s="2" t="str">
        <x:f>IF(H837&lt;3,H837&amp;"명","3명 이상")</x:f>
        <x:v>1명</x:v>
      </x:c>
      <x:c r="J837" s="2" t="str">
        <x:v>흡연</x:v>
      </x:c>
      <x:c r="K837" s="2" t="str">
        <x:v>고혈압</x:v>
      </x:c>
      <x:c r="L837" s="2" t="str">
        <x:v>없음</x:v>
      </x:c>
      <x:c r="M837" s="2" t="str">
        <x:v>수호천사 간편심사(유병자)보험</x:v>
      </x:c>
      <x:c r="N837" s="2" t="str">
        <x:f>VLOOKUP(M837,'분류기준'!$A$5:$B$8,2,FALSE)</x:f>
        <x:v>간편심사보험</x:v>
      </x:c>
      <x:c r="O837" s="2" t="str">
        <x:v>중증질환 산정특례 보장 특약</x:v>
      </x:c>
      <x:c r="P837" s="2" t="str">
        <x:f>IF(O837="선택 안함","선택 안함",IF(O837="특약 없음","특약 없음","가입"))</x:f>
        <x:v>가입</x:v>
      </x:c>
      <x:c r="Q837" s="2" t="str">
        <x:f>IF(P837="가입","가입","미가입")</x:f>
        <x:v>가입</x:v>
      </x:c>
    </x:row>
    <x:row r="838" ht="23" customHeight="1">
      <x:c r="A838" s="2" t="str">
        <x:v>C0311</x:v>
      </x:c>
      <x:c r="B838" s="7" t="n">
        <x:v>57</x:v>
      </x:c>
      <x:c r="C838" s="2" t="str">
        <x:f>INT(B838/10)*10&amp;"대"</x:f>
        <x:v>50대</x:v>
      </x:c>
      <x:c r="D838" s="2" t="str">
        <x:v>남성</x:v>
      </x:c>
      <x:c r="E838" s="7" t="n">
        <x:v>9000</x:v>
      </x:c>
      <x:c r="F838" s="7" t="n">
        <x:v>3</x:v>
      </x:c>
      <x:c r="G838" s="2" t="str">
        <x:v>기혼</x:v>
      </x:c>
      <x:c r="H838" s="7" t="n">
        <x:v>2</x:v>
      </x:c>
      <x:c r="I838" s="2" t="str">
        <x:f>IF(H838&lt;3,H838&amp;"명","3명 이상")</x:f>
        <x:v>2명</x:v>
      </x:c>
      <x:c r="J838" s="2" t="str">
        <x:v>흡연</x:v>
      </x:c>
      <x:c r="K838" s="2" t="str">
        <x:v>당뇨</x:v>
      </x:c>
      <x:c r="L838" s="2" t="str">
        <x:v>없음</x:v>
      </x:c>
      <x:c r="M838" s="2" t="str">
        <x:v>수호천사 간편심사(유병자)보험</x:v>
      </x:c>
      <x:c r="N838" s="2" t="str">
        <x:f>VLOOKUP(M838,'분류기준'!$A$5:$B$8,2,FALSE)</x:f>
        <x:v>간편심사보험</x:v>
      </x:c>
      <x:c r="O838" s="2" t="str">
        <x:v>선택 안함</x:v>
      </x:c>
      <x:c r="P838" s="2" t="str">
        <x:f>IF(O838="선택 안함","선택 안함",IF(O838="특약 없음","특약 없음","가입"))</x:f>
        <x:v>선택 안함</x:v>
      </x:c>
      <x:c r="Q838" s="2" t="str">
        <x:f>IF(P838="가입","가입","미가입")</x:f>
        <x:v>미가입</x:v>
      </x:c>
    </x:row>
    <x:row r="839" ht="23" customHeight="1">
      <x:c r="A839" s="2" t="str">
        <x:v>C0312</x:v>
      </x:c>
      <x:c r="B839" s="7" t="n">
        <x:v>57</x:v>
      </x:c>
      <x:c r="C839" s="2" t="str">
        <x:f>INT(B839/10)*10&amp;"대"</x:f>
        <x:v>50대</x:v>
      </x:c>
      <x:c r="D839" s="2" t="str">
        <x:v>여성</x:v>
      </x:c>
      <x:c r="E839" s="7" t="n">
        <x:v>12000</x:v>
      </x:c>
      <x:c r="F839" s="7" t="n">
        <x:v>1</x:v>
      </x:c>
      <x:c r="G839" s="2" t="str">
        <x:v>기혼</x:v>
      </x:c>
      <x:c r="H839" s="7" t="n">
        <x:v>2</x:v>
      </x:c>
      <x:c r="I839" s="2" t="str">
        <x:f>IF(H839&lt;3,H839&amp;"명","3명 이상")</x:f>
        <x:v>2명</x:v>
      </x:c>
      <x:c r="J839" s="2" t="str">
        <x:v>비흡연</x:v>
      </x:c>
      <x:c r="K839" s="2" t="str">
        <x:v>당뇨</x:v>
      </x:c>
      <x:c r="L839" s="2" t="str">
        <x:v>암</x:v>
      </x:c>
      <x:c r="M839" s="2" t="str">
        <x:v>수호천사 간편심사(유병자)보험</x:v>
      </x:c>
      <x:c r="N839" s="2" t="str">
        <x:f>VLOOKUP(M839,'분류기준'!$A$5:$B$8,2,FALSE)</x:f>
        <x:v>간편심사보험</x:v>
      </x:c>
      <x:c r="O839" s="2" t="str">
        <x:v>중증질환 산정특례 보장 특약</x:v>
      </x:c>
      <x:c r="P839" s="2" t="str">
        <x:f>IF(O839="선택 안함","선택 안함",IF(O839="특약 없음","특약 없음","가입"))</x:f>
        <x:v>가입</x:v>
      </x:c>
      <x:c r="Q839" s="2" t="str">
        <x:f>IF(P839="가입","가입","미가입")</x:f>
        <x:v>가입</x:v>
      </x:c>
    </x:row>
    <x:row r="840" ht="23" customHeight="1">
      <x:c r="A840" s="2" t="str">
        <x:v>C0593</x:v>
      </x:c>
      <x:c r="B840" s="7" t="n">
        <x:v>57</x:v>
      </x:c>
      <x:c r="C840" s="2" t="str">
        <x:f>INT(B840/10)*10&amp;"대"</x:f>
        <x:v>50대</x:v>
      </x:c>
      <x:c r="D840" s="2" t="str">
        <x:v>남성</x:v>
      </x:c>
      <x:c r="E840" s="7" t="n">
        <x:v>9000</x:v>
      </x:c>
      <x:c r="F840" s="7" t="n">
        <x:v>2</x:v>
      </x:c>
      <x:c r="G840" s="2" t="str">
        <x:v>미혼</x:v>
      </x:c>
      <x:c r="H840" s="7" t="n">
        <x:v>0</x:v>
      </x:c>
      <x:c r="I840" s="2" t="str">
        <x:f>IF(H840&lt;3,H840&amp;"명","3명 이상")</x:f>
        <x:v>0명</x:v>
      </x:c>
      <x:c r="J840" s="2" t="str">
        <x:v>흡연</x:v>
      </x:c>
      <x:c r="K840" s="2" t="str">
        <x:v>없음</x:v>
      </x:c>
      <x:c r="L840" s="2" t="str">
        <x:v>없음</x:v>
      </x:c>
      <x:c r="M840" s="2" t="str">
        <x:v>수호천사 행복 연금보험</x:v>
      </x:c>
      <x:c r="N840" s="2" t="str">
        <x:f>VLOOKUP(M840,'분류기준'!$A$5:$B$8,2,FALSE)</x:f>
        <x:v>연금보험</x:v>
      </x:c>
      <x:c r="O840" s="2" t="str">
        <x:v>특약 없음</x:v>
      </x:c>
      <x:c r="P840" s="2" t="str">
        <x:f>IF(O840="선택 안함","선택 안함",IF(O840="특약 없음","특약 없음","가입"))</x:f>
        <x:v>특약 없음</x:v>
      </x:c>
      <x:c r="Q840" s="2" t="str">
        <x:f>IF(P840="가입","가입","미가입")</x:f>
        <x:v>미가입</x:v>
      </x:c>
    </x:row>
    <x:row r="841" ht="23" customHeight="1">
      <x:c r="A841" s="2" t="str">
        <x:v>C0605</x:v>
      </x:c>
      <x:c r="B841" s="7" t="n">
        <x:v>57</x:v>
      </x:c>
      <x:c r="C841" s="2" t="str">
        <x:f>INT(B841/10)*10&amp;"대"</x:f>
        <x:v>50대</x:v>
      </x:c>
      <x:c r="D841" s="2" t="str">
        <x:v>남성</x:v>
      </x:c>
      <x:c r="E841" s="7" t="n">
        <x:v>7500</x:v>
      </x:c>
      <x:c r="F841" s="7" t="n">
        <x:v>2</x:v>
      </x:c>
      <x:c r="G841" s="2" t="str">
        <x:v>기혼</x:v>
      </x:c>
      <x:c r="H841" s="7" t="n">
        <x:v>2</x:v>
      </x:c>
      <x:c r="I841" s="2" t="str">
        <x:f>IF(H841&lt;3,H841&amp;"명","3명 이상")</x:f>
        <x:v>2명</x:v>
      </x:c>
      <x:c r="J841" s="2" t="str">
        <x:v>흡연</x:v>
      </x:c>
      <x:c r="K841" s="2" t="str">
        <x:v>고혈압</x:v>
      </x:c>
      <x:c r="L841" s="2" t="str">
        <x:v>암</x:v>
      </x:c>
      <x:c r="M841" s="2" t="str">
        <x:v>수호천사 암/건강보험</x:v>
      </x:c>
      <x:c r="N841" s="2" t="str">
        <x:f>VLOOKUP(M841,'분류기준'!$A$5:$B$8,2,FALSE)</x:f>
        <x:v>암/건강보험</x:v>
      </x:c>
      <x:c r="O841" s="2" t="str">
        <x:v>표적항암약물허가치료 특약</x:v>
      </x:c>
      <x:c r="P841" s="2" t="str">
        <x:f>IF(O841="선택 안함","선택 안함",IF(O841="특약 없음","특약 없음","가입"))</x:f>
        <x:v>가입</x:v>
      </x:c>
      <x:c r="Q841" s="2" t="str">
        <x:f>IF(P841="가입","가입","미가입")</x:f>
        <x:v>가입</x:v>
      </x:c>
    </x:row>
    <x:row r="842" ht="23" customHeight="1">
      <x:c r="A842" s="2" t="str">
        <x:v>C0642</x:v>
      </x:c>
      <x:c r="B842" s="7" t="n">
        <x:v>57</x:v>
      </x:c>
      <x:c r="C842" s="2" t="str">
        <x:f>INT(B842/10)*10&amp;"대"</x:f>
        <x:v>50대</x:v>
      </x:c>
      <x:c r="D842" s="2" t="str">
        <x:v>남성</x:v>
      </x:c>
      <x:c r="E842" s="7" t="n">
        <x:v>4000</x:v>
      </x:c>
      <x:c r="F842" s="7" t="n">
        <x:v>2</x:v>
      </x:c>
      <x:c r="G842" s="2" t="str">
        <x:v>기혼</x:v>
      </x:c>
      <x:c r="H842" s="7" t="n">
        <x:v>0</x:v>
      </x:c>
      <x:c r="I842" s="2" t="str">
        <x:f>IF(H842&lt;3,H842&amp;"명","3명 이상")</x:f>
        <x:v>0명</x:v>
      </x:c>
      <x:c r="J842" s="2" t="str">
        <x:v>비흡연</x:v>
      </x:c>
      <x:c r="K842" s="2" t="str">
        <x:v>고혈압</x:v>
      </x:c>
      <x:c r="L842" s="2" t="str">
        <x:v>암</x:v>
      </x:c>
      <x:c r="M842" s="2" t="str">
        <x:v>수호천사 간편심사(유병자)보험</x:v>
      </x:c>
      <x:c r="N842" s="2" t="str">
        <x:f>VLOOKUP(M842,'분류기준'!$A$5:$B$8,2,FALSE)</x:f>
        <x:v>간편심사보험</x:v>
      </x:c>
      <x:c r="O842" s="2" t="str">
        <x:v>중증질환 산정특례 보장 특약</x:v>
      </x:c>
      <x:c r="P842" s="2" t="str">
        <x:f>IF(O842="선택 안함","선택 안함",IF(O842="특약 없음","특약 없음","가입"))</x:f>
        <x:v>가입</x:v>
      </x:c>
      <x:c r="Q842" s="2" t="str">
        <x:f>IF(P842="가입","가입","미가입")</x:f>
        <x:v>가입</x:v>
      </x:c>
    </x:row>
    <x:row r="843" ht="23" customHeight="1">
      <x:c r="A843" s="2" t="str">
        <x:v>C0672</x:v>
      </x:c>
      <x:c r="B843" s="7" t="n">
        <x:v>57</x:v>
      </x:c>
      <x:c r="C843" s="2" t="str">
        <x:f>INT(B843/10)*10&amp;"대"</x:f>
        <x:v>50대</x:v>
      </x:c>
      <x:c r="D843" s="2" t="str">
        <x:v>여성</x:v>
      </x:c>
      <x:c r="E843" s="7" t="n">
        <x:v>6000</x:v>
      </x:c>
      <x:c r="F843" s="7" t="n">
        <x:v>1</x:v>
      </x:c>
      <x:c r="G843" s="2" t="str">
        <x:v>기혼</x:v>
      </x:c>
      <x:c r="H843" s="7" t="n">
        <x:v>1</x:v>
      </x:c>
      <x:c r="I843" s="2" t="str">
        <x:f>IF(H843&lt;3,H843&amp;"명","3명 이상")</x:f>
        <x:v>1명</x:v>
      </x:c>
      <x:c r="J843" s="2" t="str">
        <x:v>비흡연</x:v>
      </x:c>
      <x:c r="K843" s="2" t="str">
        <x:v>고혈압</x:v>
      </x:c>
      <x:c r="L843" s="2" t="str">
        <x:v>없음</x:v>
      </x:c>
      <x:c r="M843" s="2" t="str">
        <x:v>수호천사 간편심사(유병자)보험</x:v>
      </x:c>
      <x:c r="N843" s="2" t="str">
        <x:f>VLOOKUP(M843,'분류기준'!$A$5:$B$8,2,FALSE)</x:f>
        <x:v>간편심사보험</x:v>
      </x:c>
      <x:c r="O843" s="2" t="str">
        <x:v>선택 안함</x:v>
      </x:c>
      <x:c r="P843" s="2" t="str">
        <x:f>IF(O843="선택 안함","선택 안함",IF(O843="특약 없음","특약 없음","가입"))</x:f>
        <x:v>선택 안함</x:v>
      </x:c>
      <x:c r="Q843" s="2" t="str">
        <x:f>IF(P843="가입","가입","미가입")</x:f>
        <x:v>미가입</x:v>
      </x:c>
    </x:row>
    <x:row r="844" ht="23" customHeight="1">
      <x:c r="A844" s="2" t="str">
        <x:v>C0729</x:v>
      </x:c>
      <x:c r="B844" s="7" t="n">
        <x:v>57</x:v>
      </x:c>
      <x:c r="C844" s="2" t="str">
        <x:f>INT(B844/10)*10&amp;"대"</x:f>
        <x:v>50대</x:v>
      </x:c>
      <x:c r="D844" s="2" t="str">
        <x:v>여성</x:v>
      </x:c>
      <x:c r="E844" s="7" t="n">
        <x:v>7500</x:v>
      </x:c>
      <x:c r="F844" s="7" t="n">
        <x:v>1</x:v>
      </x:c>
      <x:c r="G844" s="2" t="str">
        <x:v>기혼</x:v>
      </x:c>
      <x:c r="H844" s="7" t="n">
        <x:v>2</x:v>
      </x:c>
      <x:c r="I844" s="2" t="str">
        <x:f>IF(H844&lt;3,H844&amp;"명","3명 이상")</x:f>
        <x:v>2명</x:v>
      </x:c>
      <x:c r="J844" s="2" t="str">
        <x:v>흡연</x:v>
      </x:c>
      <x:c r="K844" s="2" t="str">
        <x:v>없음</x:v>
      </x:c>
      <x:c r="L844" s="2" t="str">
        <x:v>암</x:v>
      </x:c>
      <x:c r="M844" s="2" t="str">
        <x:v>수호천사 암/건강보험</x:v>
      </x:c>
      <x:c r="N844" s="2" t="str">
        <x:f>VLOOKUP(M844,'분류기준'!$A$5:$B$8,2,FALSE)</x:f>
        <x:v>암/건강보험</x:v>
      </x:c>
      <x:c r="O844" s="2" t="str">
        <x:v>표적항암약물허가치료 특약</x:v>
      </x:c>
      <x:c r="P844" s="2" t="str">
        <x:f>IF(O844="선택 안함","선택 안함",IF(O844="특약 없음","특약 없음","가입"))</x:f>
        <x:v>가입</x:v>
      </x:c>
      <x:c r="Q844" s="2" t="str">
        <x:f>IF(P844="가입","가입","미가입")</x:f>
        <x:v>가입</x:v>
      </x:c>
    </x:row>
    <x:row r="845" ht="23" customHeight="1">
      <x:c r="A845" s="2" t="str">
        <x:v>C0772</x:v>
      </x:c>
      <x:c r="B845" s="7" t="n">
        <x:v>57</x:v>
      </x:c>
      <x:c r="C845" s="2" t="str">
        <x:f>INT(B845/10)*10&amp;"대"</x:f>
        <x:v>50대</x:v>
      </x:c>
      <x:c r="D845" s="2" t="str">
        <x:v>남성</x:v>
      </x:c>
      <x:c r="E845" s="7" t="n">
        <x:v>9000</x:v>
      </x:c>
      <x:c r="F845" s="7" t="n">
        <x:v>1</x:v>
      </x:c>
      <x:c r="G845" s="2" t="str">
        <x:v>기혼</x:v>
      </x:c>
      <x:c r="H845" s="7" t="n">
        <x:v>1</x:v>
      </x:c>
      <x:c r="I845" s="2" t="str">
        <x:f>IF(H845&lt;3,H845&amp;"명","3명 이상")</x:f>
        <x:v>1명</x:v>
      </x:c>
      <x:c r="J845" s="2" t="str">
        <x:v>흡연</x:v>
      </x:c>
      <x:c r="K845" s="2" t="str">
        <x:v>없음</x:v>
      </x:c>
      <x:c r="L845" s="2" t="str">
        <x:v>암</x:v>
      </x:c>
      <x:c r="M845" s="2" t="str">
        <x:v>수호천사 암/건강보험</x:v>
      </x:c>
      <x:c r="N845" s="2" t="str">
        <x:f>VLOOKUP(M845,'분류기준'!$A$5:$B$8,2,FALSE)</x:f>
        <x:v>암/건강보험</x:v>
      </x:c>
      <x:c r="O845" s="2" t="str">
        <x:v>표적항암약물허가치료 특약</x:v>
      </x:c>
      <x:c r="P845" s="2" t="str">
        <x:f>IF(O845="선택 안함","선택 안함",IF(O845="특약 없음","특약 없음","가입"))</x:f>
        <x:v>가입</x:v>
      </x:c>
      <x:c r="Q845" s="2" t="str">
        <x:f>IF(P845="가입","가입","미가입")</x:f>
        <x:v>가입</x:v>
      </x:c>
    </x:row>
    <x:row r="846" ht="23" customHeight="1">
      <x:c r="A846" s="2" t="str">
        <x:v>C0774</x:v>
      </x:c>
      <x:c r="B846" s="7" t="n">
        <x:v>57</x:v>
      </x:c>
      <x:c r="C846" s="2" t="str">
        <x:f>INT(B846/10)*10&amp;"대"</x:f>
        <x:v>50대</x:v>
      </x:c>
      <x:c r="D846" s="2" t="str">
        <x:v>여성</x:v>
      </x:c>
      <x:c r="E846" s="7" t="n">
        <x:v>6000</x:v>
      </x:c>
      <x:c r="F846" s="7" t="n">
        <x:v>3</x:v>
      </x:c>
      <x:c r="G846" s="2" t="str">
        <x:v>기혼</x:v>
      </x:c>
      <x:c r="H846" s="7" t="n">
        <x:v>2</x:v>
      </x:c>
      <x:c r="I846" s="2" t="str">
        <x:f>IF(H846&lt;3,H846&amp;"명","3명 이상")</x:f>
        <x:v>2명</x:v>
      </x:c>
      <x:c r="J846" s="2" t="str">
        <x:v>비흡연</x:v>
      </x:c>
      <x:c r="K846" s="2" t="str">
        <x:v>고혈압</x:v>
      </x:c>
      <x:c r="L846" s="2" t="str">
        <x:v>암</x:v>
      </x:c>
      <x:c r="M846" s="2" t="str">
        <x:v>수호천사 간편심사(유병자)보험</x:v>
      </x:c>
      <x:c r="N846" s="2" t="str">
        <x:f>VLOOKUP(M846,'분류기준'!$A$5:$B$8,2,FALSE)</x:f>
        <x:v>간편심사보험</x:v>
      </x:c>
      <x:c r="O846" s="2" t="str">
        <x:v>중증질환 산정특례 보장 특약</x:v>
      </x:c>
      <x:c r="P846" s="2" t="str">
        <x:f>IF(O846="선택 안함","선택 안함",IF(O846="특약 없음","특약 없음","가입"))</x:f>
        <x:v>가입</x:v>
      </x:c>
      <x:c r="Q846" s="2" t="str">
        <x:f>IF(P846="가입","가입","미가입")</x:f>
        <x:v>가입</x:v>
      </x:c>
    </x:row>
    <x:row r="847" ht="23" customHeight="1">
      <x:c r="A847" s="2" t="str">
        <x:v>C0781</x:v>
      </x:c>
      <x:c r="B847" s="7" t="n">
        <x:v>57</x:v>
      </x:c>
      <x:c r="C847" s="2" t="str">
        <x:f>INT(B847/10)*10&amp;"대"</x:f>
        <x:v>50대</x:v>
      </x:c>
      <x:c r="D847" s="2" t="str">
        <x:v>남성</x:v>
      </x:c>
      <x:c r="E847" s="7" t="n">
        <x:v>5000</x:v>
      </x:c>
      <x:c r="F847" s="7" t="n">
        <x:v>1</x:v>
      </x:c>
      <x:c r="G847" s="2" t="str">
        <x:v>기혼</x:v>
      </x:c>
      <x:c r="H847" s="7" t="n">
        <x:v>1</x:v>
      </x:c>
      <x:c r="I847" s="2" t="str">
        <x:f>IF(H847&lt;3,H847&amp;"명","3명 이상")</x:f>
        <x:v>1명</x:v>
      </x:c>
      <x:c r="J847" s="2" t="str">
        <x:v>비흡연</x:v>
      </x:c>
      <x:c r="K847" s="2" t="str">
        <x:v>당뇨</x:v>
      </x:c>
      <x:c r="L847" s="2" t="str">
        <x:v>없음</x:v>
      </x:c>
      <x:c r="M847" s="2" t="str">
        <x:v>수호천사 간편심사(유병자)보험</x:v>
      </x:c>
      <x:c r="N847" s="2" t="str">
        <x:f>VLOOKUP(M847,'분류기준'!$A$5:$B$8,2,FALSE)</x:f>
        <x:v>간편심사보험</x:v>
      </x:c>
      <x:c r="O847" s="2" t="str">
        <x:v>중증질환 산정특례 보장 특약</x:v>
      </x:c>
      <x:c r="P847" s="2" t="str">
        <x:f>IF(O847="선택 안함","선택 안함",IF(O847="특약 없음","특약 없음","가입"))</x:f>
        <x:v>가입</x:v>
      </x:c>
      <x:c r="Q847" s="2" t="str">
        <x:f>IF(P847="가입","가입","미가입")</x:f>
        <x:v>가입</x:v>
      </x:c>
    </x:row>
    <x:row r="848" ht="23" customHeight="1">
      <x:c r="A848" s="2" t="str">
        <x:v>C0871</x:v>
      </x:c>
      <x:c r="B848" s="7" t="n">
        <x:v>57</x:v>
      </x:c>
      <x:c r="C848" s="2" t="str">
        <x:f>INT(B848/10)*10&amp;"대"</x:f>
        <x:v>50대</x:v>
      </x:c>
      <x:c r="D848" s="2" t="str">
        <x:v>여성</x:v>
      </x:c>
      <x:c r="E848" s="7" t="n">
        <x:v>3000</x:v>
      </x:c>
      <x:c r="F848" s="7" t="n">
        <x:v>1</x:v>
      </x:c>
      <x:c r="G848" s="2" t="str">
        <x:v>기혼</x:v>
      </x:c>
      <x:c r="H848" s="7" t="n">
        <x:v>1</x:v>
      </x:c>
      <x:c r="I848" s="2" t="str">
        <x:f>IF(H848&lt;3,H848&amp;"명","3명 이상")</x:f>
        <x:v>1명</x:v>
      </x:c>
      <x:c r="J848" s="2" t="str">
        <x:v>흡연</x:v>
      </x:c>
      <x:c r="K848" s="2" t="str">
        <x:v>없음</x:v>
      </x:c>
      <x:c r="L848" s="2" t="str">
        <x:v>심혈관</x:v>
      </x:c>
      <x:c r="M848" s="2" t="str">
        <x:v>수호천사 암/건강보험</x:v>
      </x:c>
      <x:c r="N848" s="2" t="str">
        <x:f>VLOOKUP(M848,'분류기준'!$A$5:$B$8,2,FALSE)</x:f>
        <x:v>암/건강보험</x:v>
      </x:c>
      <x:c r="O848" s="2" t="str">
        <x:v>표적항암약물허가치료 특약</x:v>
      </x:c>
      <x:c r="P848" s="2" t="str">
        <x:f>IF(O848="선택 안함","선택 안함",IF(O848="특약 없음","특약 없음","가입"))</x:f>
        <x:v>가입</x:v>
      </x:c>
      <x:c r="Q848" s="2" t="str">
        <x:f>IF(P848="가입","가입","미가입")</x:f>
        <x:v>가입</x:v>
      </x:c>
    </x:row>
    <x:row r="849" ht="23" customHeight="1">
      <x:c r="A849" s="2" t="str">
        <x:v>C0939</x:v>
      </x:c>
      <x:c r="B849" s="7" t="n">
        <x:v>57</x:v>
      </x:c>
      <x:c r="C849" s="2" t="str">
        <x:f>INT(B849/10)*10&amp;"대"</x:f>
        <x:v>50대</x:v>
      </x:c>
      <x:c r="D849" s="2" t="str">
        <x:v>남성</x:v>
      </x:c>
      <x:c r="E849" s="7" t="n">
        <x:v>5000</x:v>
      </x:c>
      <x:c r="F849" s="7" t="n">
        <x:v>1</x:v>
      </x:c>
      <x:c r="G849" s="2" t="str">
        <x:v>기혼</x:v>
      </x:c>
      <x:c r="H849" s="7" t="n">
        <x:v>1</x:v>
      </x:c>
      <x:c r="I849" s="2" t="str">
        <x:f>IF(H849&lt;3,H849&amp;"명","3명 이상")</x:f>
        <x:v>1명</x:v>
      </x:c>
      <x:c r="J849" s="2" t="str">
        <x:v>비흡연</x:v>
      </x:c>
      <x:c r="K849" s="2" t="str">
        <x:v>없음</x:v>
      </x:c>
      <x:c r="L849" s="2" t="str">
        <x:v>암</x:v>
      </x:c>
      <x:c r="M849" s="2" t="str">
        <x:v>수호천사 우리가족 종신보험</x:v>
      </x:c>
      <x:c r="N849" s="2" t="str">
        <x:f>VLOOKUP(M849,'분류기준'!$A$5:$B$8,2,FALSE)</x:f>
        <x:v>종신보험</x:v>
      </x:c>
      <x:c r="O849" s="2" t="str">
        <x:v>선택 안함</x:v>
      </x:c>
      <x:c r="P849" s="2" t="str">
        <x:f>IF(O849="선택 안함","선택 안함",IF(O849="특약 없음","특약 없음","가입"))</x:f>
        <x:v>선택 안함</x:v>
      </x:c>
      <x:c r="Q849" s="2" t="str">
        <x:f>IF(P849="가입","가입","미가입")</x:f>
        <x:v>미가입</x:v>
      </x:c>
    </x:row>
    <x:row r="850" ht="23" customHeight="1">
      <x:c r="A850" s="2" t="str">
        <x:v>C0959</x:v>
      </x:c>
      <x:c r="B850" s="7" t="n">
        <x:v>57</x:v>
      </x:c>
      <x:c r="C850" s="2" t="str">
        <x:f>INT(B850/10)*10&amp;"대"</x:f>
        <x:v>50대</x:v>
      </x:c>
      <x:c r="D850" s="2" t="str">
        <x:v>여성</x:v>
      </x:c>
      <x:c r="E850" s="7" t="n">
        <x:v>6000</x:v>
      </x:c>
      <x:c r="F850" s="7" t="n">
        <x:v>1</x:v>
      </x:c>
      <x:c r="G850" s="2" t="str">
        <x:v>기혼</x:v>
      </x:c>
      <x:c r="H850" s="7" t="n">
        <x:v>1</x:v>
      </x:c>
      <x:c r="I850" s="2" t="str">
        <x:f>IF(H850&lt;3,H850&amp;"명","3명 이상")</x:f>
        <x:v>1명</x:v>
      </x:c>
      <x:c r="J850" s="2" t="str">
        <x:v>흡연</x:v>
      </x:c>
      <x:c r="K850" s="2" t="str">
        <x:v>당뇨</x:v>
      </x:c>
      <x:c r="L850" s="2" t="str">
        <x:v>없음</x:v>
      </x:c>
      <x:c r="M850" s="2" t="str">
        <x:v>수호천사 간편심사(유병자)보험</x:v>
      </x:c>
      <x:c r="N850" s="2" t="str">
        <x:f>VLOOKUP(M850,'분류기준'!$A$5:$B$8,2,FALSE)</x:f>
        <x:v>간편심사보험</x:v>
      </x:c>
      <x:c r="O850" s="2" t="str">
        <x:v>중증질환 산정특례 보장 특약</x:v>
      </x:c>
      <x:c r="P850" s="2" t="str">
        <x:f>IF(O850="선택 안함","선택 안함",IF(O850="특약 없음","특약 없음","가입"))</x:f>
        <x:v>가입</x:v>
      </x:c>
      <x:c r="Q850" s="2" t="str">
        <x:f>IF(P850="가입","가입","미가입")</x:f>
        <x:v>가입</x:v>
      </x:c>
    </x:row>
    <x:row r="851" ht="23" customHeight="1">
      <x:c r="A851" s="2" t="str">
        <x:v>C0986</x:v>
      </x:c>
      <x:c r="B851" s="7" t="n">
        <x:v>57</x:v>
      </x:c>
      <x:c r="C851" s="2" t="str">
        <x:f>INT(B851/10)*10&amp;"대"</x:f>
        <x:v>50대</x:v>
      </x:c>
      <x:c r="D851" s="2" t="str">
        <x:v>여성</x:v>
      </x:c>
      <x:c r="E851" s="7" t="n">
        <x:v>4000</x:v>
      </x:c>
      <x:c r="F851" s="7" t="n">
        <x:v>1</x:v>
      </x:c>
      <x:c r="G851" s="2" t="str">
        <x:v>기혼</x:v>
      </x:c>
      <x:c r="H851" s="7" t="n">
        <x:v>0</x:v>
      </x:c>
      <x:c r="I851" s="2" t="str">
        <x:f>IF(H851&lt;3,H851&amp;"명","3명 이상")</x:f>
        <x:v>0명</x:v>
      </x:c>
      <x:c r="J851" s="2" t="str">
        <x:v>비흡연</x:v>
      </x:c>
      <x:c r="K851" s="2" t="str">
        <x:v>고혈압</x:v>
      </x:c>
      <x:c r="L851" s="2" t="str">
        <x:v>없음</x:v>
      </x:c>
      <x:c r="M851" s="2" t="str">
        <x:v>수호천사 간편심사(유병자)보험</x:v>
      </x:c>
      <x:c r="N851" s="2" t="str">
        <x:f>VLOOKUP(M851,'분류기준'!$A$5:$B$8,2,FALSE)</x:f>
        <x:v>간편심사보험</x:v>
      </x:c>
      <x:c r="O851" s="2" t="str">
        <x:v>중증질환 산정특례 보장 특약</x:v>
      </x:c>
      <x:c r="P851" s="2" t="str">
        <x:f>IF(O851="선택 안함","선택 안함",IF(O851="특약 없음","특약 없음","가입"))</x:f>
        <x:v>가입</x:v>
      </x:c>
      <x:c r="Q851" s="2" t="str">
        <x:f>IF(P851="가입","가입","미가입")</x:f>
        <x:v>가입</x:v>
      </x:c>
    </x:row>
    <x:row r="852" ht="23" customHeight="1">
      <x:c r="A852" s="2" t="str">
        <x:v>C0001</x:v>
      </x:c>
      <x:c r="B852" s="7" t="n">
        <x:v>58</x:v>
      </x:c>
      <x:c r="C852" s="2" t="str">
        <x:f>INT(B852/10)*10&amp;"대"</x:f>
        <x:v>50대</x:v>
      </x:c>
      <x:c r="D852" s="2" t="str">
        <x:v>여성</x:v>
      </x:c>
      <x:c r="E852" s="7" t="n">
        <x:v>3000</x:v>
      </x:c>
      <x:c r="F852" s="7" t="n">
        <x:v>1</x:v>
      </x:c>
      <x:c r="G852" s="2" t="str">
        <x:v>기혼</x:v>
      </x:c>
      <x:c r="H852" s="7" t="n">
        <x:v>1</x:v>
      </x:c>
      <x:c r="I852" s="2" t="str">
        <x:f>IF(H852&lt;3,H852&amp;"명","3명 이상")</x:f>
        <x:v>1명</x:v>
      </x:c>
      <x:c r="J852" s="2" t="str">
        <x:v>흡연</x:v>
      </x:c>
      <x:c r="K852" s="2" t="str">
        <x:v>당뇨</x:v>
      </x:c>
      <x:c r="L852" s="2" t="str">
        <x:v>심혈관</x:v>
      </x:c>
      <x:c r="M852" s="2" t="str">
        <x:v>수호천사 간편심사(유병자)보험</x:v>
      </x:c>
      <x:c r="N852" s="2" t="str">
        <x:f>VLOOKUP(M852,'분류기준'!$A$5:$B$8,2,FALSE)</x:f>
        <x:v>간편심사보험</x:v>
      </x:c>
      <x:c r="O852" s="2" t="str">
        <x:v>중증질환 산정특례 보장 특약</x:v>
      </x:c>
      <x:c r="P852" s="2" t="str">
        <x:f>IF(O852="선택 안함","선택 안함",IF(O852="특약 없음","특약 없음","가입"))</x:f>
        <x:v>가입</x:v>
      </x:c>
      <x:c r="Q852" s="2" t="str">
        <x:f>IF(P852="가입","가입","미가입")</x:f>
        <x:v>가입</x:v>
      </x:c>
    </x:row>
    <x:row r="853" ht="23" customHeight="1">
      <x:c r="A853" s="2" t="str">
        <x:v>C0007</x:v>
      </x:c>
      <x:c r="B853" s="7" t="n">
        <x:v>58</x:v>
      </x:c>
      <x:c r="C853" s="2" t="str">
        <x:f>INT(B853/10)*10&amp;"대"</x:f>
        <x:v>50대</x:v>
      </x:c>
      <x:c r="D853" s="2" t="str">
        <x:v>여성</x:v>
      </x:c>
      <x:c r="E853" s="7" t="n">
        <x:v>4000</x:v>
      </x:c>
      <x:c r="F853" s="7" t="n">
        <x:v>1</x:v>
      </x:c>
      <x:c r="G853" s="2" t="str">
        <x:v>기혼</x:v>
      </x:c>
      <x:c r="H853" s="7" t="n">
        <x:v>0</x:v>
      </x:c>
      <x:c r="I853" s="2" t="str">
        <x:f>IF(H853&lt;3,H853&amp;"명","3명 이상")</x:f>
        <x:v>0명</x:v>
      </x:c>
      <x:c r="J853" s="2" t="str">
        <x:v>비흡연</x:v>
      </x:c>
      <x:c r="K853" s="2" t="str">
        <x:v>고혈압</x:v>
      </x:c>
      <x:c r="L853" s="2" t="str">
        <x:v>암</x:v>
      </x:c>
      <x:c r="M853" s="2" t="str">
        <x:v>수호천사 간편심사(유병자)보험</x:v>
      </x:c>
      <x:c r="N853" s="2" t="str">
        <x:f>VLOOKUP(M853,'분류기준'!$A$5:$B$8,2,FALSE)</x:f>
        <x:v>간편심사보험</x:v>
      </x:c>
      <x:c r="O853" s="2" t="str">
        <x:v>중증질환 산정특례 보장 특약</x:v>
      </x:c>
      <x:c r="P853" s="2" t="str">
        <x:f>IF(O853="선택 안함","선택 안함",IF(O853="특약 없음","특약 없음","가입"))</x:f>
        <x:v>가입</x:v>
      </x:c>
      <x:c r="Q853" s="2" t="str">
        <x:f>IF(P853="가입","가입","미가입")</x:f>
        <x:v>가입</x:v>
      </x:c>
    </x:row>
    <x:row r="854" ht="23" customHeight="1">
      <x:c r="A854" s="2" t="str">
        <x:v>C0041</x:v>
      </x:c>
      <x:c r="B854" s="7" t="n">
        <x:v>58</x:v>
      </x:c>
      <x:c r="C854" s="2" t="str">
        <x:f>INT(B854/10)*10&amp;"대"</x:f>
        <x:v>50대</x:v>
      </x:c>
      <x:c r="D854" s="2" t="str">
        <x:v>남성</x:v>
      </x:c>
      <x:c r="E854" s="7" t="n">
        <x:v>3000</x:v>
      </x:c>
      <x:c r="F854" s="7" t="n">
        <x:v>1</x:v>
      </x:c>
      <x:c r="G854" s="2" t="str">
        <x:v>미혼</x:v>
      </x:c>
      <x:c r="H854" s="7" t="n">
        <x:v>0</x:v>
      </x:c>
      <x:c r="I854" s="2" t="str">
        <x:f>IF(H854&lt;3,H854&amp;"명","3명 이상")</x:f>
        <x:v>0명</x:v>
      </x:c>
      <x:c r="J854" s="2" t="str">
        <x:v>흡연</x:v>
      </x:c>
      <x:c r="K854" s="2" t="str">
        <x:v>고혈압</x:v>
      </x:c>
      <x:c r="L854" s="2" t="str">
        <x:v>없음</x:v>
      </x:c>
      <x:c r="M854" s="2" t="str">
        <x:v>수호천사 행복 연금보험</x:v>
      </x:c>
      <x:c r="N854" s="2" t="str">
        <x:f>VLOOKUP(M854,'분류기준'!$A$5:$B$8,2,FALSE)</x:f>
        <x:v>연금보험</x:v>
      </x:c>
      <x:c r="O854" s="2" t="str">
        <x:v>특약 없음</x:v>
      </x:c>
      <x:c r="P854" s="2" t="str">
        <x:f>IF(O854="선택 안함","선택 안함",IF(O854="특약 없음","특약 없음","가입"))</x:f>
        <x:v>특약 없음</x:v>
      </x:c>
      <x:c r="Q854" s="2" t="str">
        <x:f>IF(P854="가입","가입","미가입")</x:f>
        <x:v>미가입</x:v>
      </x:c>
    </x:row>
    <x:row r="855" ht="23" customHeight="1">
      <x:c r="A855" s="2" t="str">
        <x:v>C0107</x:v>
      </x:c>
      <x:c r="B855" s="7" t="n">
        <x:v>58</x:v>
      </x:c>
      <x:c r="C855" s="2" t="str">
        <x:f>INT(B855/10)*10&amp;"대"</x:f>
        <x:v>50대</x:v>
      </x:c>
      <x:c r="D855" s="2" t="str">
        <x:v>여성</x:v>
      </x:c>
      <x:c r="E855" s="7" t="n">
        <x:v>5000</x:v>
      </x:c>
      <x:c r="F855" s="7" t="n">
        <x:v>1</x:v>
      </x:c>
      <x:c r="G855" s="2" t="str">
        <x:v>미혼</x:v>
      </x:c>
      <x:c r="H855" s="7" t="n">
        <x:v>0</x:v>
      </x:c>
      <x:c r="I855" s="2" t="str">
        <x:f>IF(H855&lt;3,H855&amp;"명","3명 이상")</x:f>
        <x:v>0명</x:v>
      </x:c>
      <x:c r="J855" s="2" t="str">
        <x:v>비흡연</x:v>
      </x:c>
      <x:c r="K855" s="2" t="str">
        <x:v>없음</x:v>
      </x:c>
      <x:c r="L855" s="2" t="str">
        <x:v>없음</x:v>
      </x:c>
      <x:c r="M855" s="2" t="str">
        <x:v>수호천사 간편심사(유병자)보험</x:v>
      </x:c>
      <x:c r="N855" s="2" t="str">
        <x:f>VLOOKUP(M855,'분류기준'!$A$5:$B$8,2,FALSE)</x:f>
        <x:v>간편심사보험</x:v>
      </x:c>
      <x:c r="O855" s="2" t="str">
        <x:v>중증질환 산정특례 보장 특약</x:v>
      </x:c>
      <x:c r="P855" s="2" t="str">
        <x:f>IF(O855="선택 안함","선택 안함",IF(O855="특약 없음","특약 없음","가입"))</x:f>
        <x:v>가입</x:v>
      </x:c>
      <x:c r="Q855" s="2" t="str">
        <x:f>IF(P855="가입","가입","미가입")</x:f>
        <x:v>가입</x:v>
      </x:c>
    </x:row>
    <x:row r="856" ht="23" customHeight="1">
      <x:c r="A856" s="2" t="str">
        <x:v>C0134</x:v>
      </x:c>
      <x:c r="B856" s="7" t="n">
        <x:v>58</x:v>
      </x:c>
      <x:c r="C856" s="2" t="str">
        <x:f>INT(B856/10)*10&amp;"대"</x:f>
        <x:v>50대</x:v>
      </x:c>
      <x:c r="D856" s="2" t="str">
        <x:v>남성</x:v>
      </x:c>
      <x:c r="E856" s="7" t="n">
        <x:v>4000</x:v>
      </x:c>
      <x:c r="F856" s="7" t="n">
        <x:v>2</x:v>
      </x:c>
      <x:c r="G856" s="2" t="str">
        <x:v>기혼</x:v>
      </x:c>
      <x:c r="H856" s="7" t="n">
        <x:v>2</x:v>
      </x:c>
      <x:c r="I856" s="2" t="str">
        <x:f>IF(H856&lt;3,H856&amp;"명","3명 이상")</x:f>
        <x:v>2명</x:v>
      </x:c>
      <x:c r="J856" s="2" t="str">
        <x:v>비흡연</x:v>
      </x:c>
      <x:c r="K856" s="2" t="str">
        <x:v>없음</x:v>
      </x:c>
      <x:c r="L856" s="2" t="str">
        <x:v>암</x:v>
      </x:c>
      <x:c r="M856" s="2" t="str">
        <x:v>수호천사 암/건강보험</x:v>
      </x:c>
      <x:c r="N856" s="2" t="str">
        <x:f>VLOOKUP(M856,'분류기준'!$A$5:$B$8,2,FALSE)</x:f>
        <x:v>암/건강보험</x:v>
      </x:c>
      <x:c r="O856" s="2" t="str">
        <x:v>표적항암약물허가치료 특약</x:v>
      </x:c>
      <x:c r="P856" s="2" t="str">
        <x:f>IF(O856="선택 안함","선택 안함",IF(O856="특약 없음","특약 없음","가입"))</x:f>
        <x:v>가입</x:v>
      </x:c>
      <x:c r="Q856" s="2" t="str">
        <x:f>IF(P856="가입","가입","미가입")</x:f>
        <x:v>가입</x:v>
      </x:c>
    </x:row>
    <x:row r="857" ht="23" customHeight="1">
      <x:c r="A857" s="2" t="str">
        <x:v>C0143</x:v>
      </x:c>
      <x:c r="B857" s="7" t="n">
        <x:v>58</x:v>
      </x:c>
      <x:c r="C857" s="2" t="str">
        <x:f>INT(B857/10)*10&amp;"대"</x:f>
        <x:v>50대</x:v>
      </x:c>
      <x:c r="D857" s="2" t="str">
        <x:v>여성</x:v>
      </x:c>
      <x:c r="E857" s="7" t="n">
        <x:v>5000</x:v>
      </x:c>
      <x:c r="F857" s="7" t="n">
        <x:v>1</x:v>
      </x:c>
      <x:c r="G857" s="2" t="str">
        <x:v>기혼</x:v>
      </x:c>
      <x:c r="H857" s="7" t="n">
        <x:v>1</x:v>
      </x:c>
      <x:c r="I857" s="2" t="str">
        <x:f>IF(H857&lt;3,H857&amp;"명","3명 이상")</x:f>
        <x:v>1명</x:v>
      </x:c>
      <x:c r="J857" s="2" t="str">
        <x:v>비흡연</x:v>
      </x:c>
      <x:c r="K857" s="2" t="str">
        <x:v>고혈압</x:v>
      </x:c>
      <x:c r="L857" s="2" t="str">
        <x:v>없음</x:v>
      </x:c>
      <x:c r="M857" s="2" t="str">
        <x:v>수호천사 간편심사(유병자)보험</x:v>
      </x:c>
      <x:c r="N857" s="2" t="str">
        <x:f>VLOOKUP(M857,'분류기준'!$A$5:$B$8,2,FALSE)</x:f>
        <x:v>간편심사보험</x:v>
      </x:c>
      <x:c r="O857" s="2" t="str">
        <x:v>중증질환 산정특례 보장 특약</x:v>
      </x:c>
      <x:c r="P857" s="2" t="str">
        <x:f>IF(O857="선택 안함","선택 안함",IF(O857="특약 없음","특약 없음","가입"))</x:f>
        <x:v>가입</x:v>
      </x:c>
      <x:c r="Q857" s="2" t="str">
        <x:f>IF(P857="가입","가입","미가입")</x:f>
        <x:v>가입</x:v>
      </x:c>
    </x:row>
    <x:row r="858" ht="23" customHeight="1">
      <x:c r="A858" s="2" t="str">
        <x:v>C0149</x:v>
      </x:c>
      <x:c r="B858" s="7" t="n">
        <x:v>58</x:v>
      </x:c>
      <x:c r="C858" s="2" t="str">
        <x:f>INT(B858/10)*10&amp;"대"</x:f>
        <x:v>50대</x:v>
      </x:c>
      <x:c r="D858" s="2" t="str">
        <x:v>여성</x:v>
      </x:c>
      <x:c r="E858" s="7" t="n">
        <x:v>5000</x:v>
      </x:c>
      <x:c r="F858" s="7" t="n">
        <x:v>2</x:v>
      </x:c>
      <x:c r="G858" s="2" t="str">
        <x:v>기혼</x:v>
      </x:c>
      <x:c r="H858" s="7" t="n">
        <x:v>0</x:v>
      </x:c>
      <x:c r="I858" s="2" t="str">
        <x:f>IF(H858&lt;3,H858&amp;"명","3명 이상")</x:f>
        <x:v>0명</x:v>
      </x:c>
      <x:c r="J858" s="2" t="str">
        <x:v>비흡연</x:v>
      </x:c>
      <x:c r="K858" s="2" t="str">
        <x:v>고혈압</x:v>
      </x:c>
      <x:c r="L858" s="2" t="str">
        <x:v>심혈관</x:v>
      </x:c>
      <x:c r="M858" s="2" t="str">
        <x:v>수호천사 간편심사(유병자)보험</x:v>
      </x:c>
      <x:c r="N858" s="2" t="str">
        <x:f>VLOOKUP(M858,'분류기준'!$A$5:$B$8,2,FALSE)</x:f>
        <x:v>간편심사보험</x:v>
      </x:c>
      <x:c r="O858" s="2" t="str">
        <x:v>중증질환 산정특례 보장 특약</x:v>
      </x:c>
      <x:c r="P858" s="2" t="str">
        <x:f>IF(O858="선택 안함","선택 안함",IF(O858="특약 없음","특약 없음","가입"))</x:f>
        <x:v>가입</x:v>
      </x:c>
      <x:c r="Q858" s="2" t="str">
        <x:f>IF(P858="가입","가입","미가입")</x:f>
        <x:v>가입</x:v>
      </x:c>
    </x:row>
    <x:row r="859" ht="23" customHeight="1">
      <x:c r="A859" s="2" t="str">
        <x:v>C0173</x:v>
      </x:c>
      <x:c r="B859" s="7" t="n">
        <x:v>58</x:v>
      </x:c>
      <x:c r="C859" s="2" t="str">
        <x:f>INT(B859/10)*10&amp;"대"</x:f>
        <x:v>50대</x:v>
      </x:c>
      <x:c r="D859" s="2" t="str">
        <x:v>남성</x:v>
      </x:c>
      <x:c r="E859" s="7" t="n">
        <x:v>7500</x:v>
      </x:c>
      <x:c r="F859" s="7" t="n">
        <x:v>1</x:v>
      </x:c>
      <x:c r="G859" s="2" t="str">
        <x:v>기혼</x:v>
      </x:c>
      <x:c r="H859" s="7" t="n">
        <x:v>2</x:v>
      </x:c>
      <x:c r="I859" s="2" t="str">
        <x:f>IF(H859&lt;3,H859&amp;"명","3명 이상")</x:f>
        <x:v>2명</x:v>
      </x:c>
      <x:c r="J859" s="2" t="str">
        <x:v>흡연</x:v>
      </x:c>
      <x:c r="K859" s="2" t="str">
        <x:v>고혈압</x:v>
      </x:c>
      <x:c r="L859" s="2" t="str">
        <x:v>없음</x:v>
      </x:c>
      <x:c r="M859" s="2" t="str">
        <x:v>수호천사 암/건강보험</x:v>
      </x:c>
      <x:c r="N859" s="2" t="str">
        <x:f>VLOOKUP(M859,'분류기준'!$A$5:$B$8,2,FALSE)</x:f>
        <x:v>암/건강보험</x:v>
      </x:c>
      <x:c r="O859" s="2" t="str">
        <x:v>선택 안함</x:v>
      </x:c>
      <x:c r="P859" s="2" t="str">
        <x:f>IF(O859="선택 안함","선택 안함",IF(O859="특약 없음","특약 없음","가입"))</x:f>
        <x:v>선택 안함</x:v>
      </x:c>
      <x:c r="Q859" s="2" t="str">
        <x:f>IF(P859="가입","가입","미가입")</x:f>
        <x:v>미가입</x:v>
      </x:c>
    </x:row>
    <x:row r="860" ht="23" customHeight="1">
      <x:c r="A860" s="2" t="str">
        <x:v>C0180</x:v>
      </x:c>
      <x:c r="B860" s="7" t="n">
        <x:v>58</x:v>
      </x:c>
      <x:c r="C860" s="2" t="str">
        <x:f>INT(B860/10)*10&amp;"대"</x:f>
        <x:v>50대</x:v>
      </x:c>
      <x:c r="D860" s="2" t="str">
        <x:v>여성</x:v>
      </x:c>
      <x:c r="E860" s="7" t="n">
        <x:v>7500</x:v>
      </x:c>
      <x:c r="F860" s="7" t="n">
        <x:v>1</x:v>
      </x:c>
      <x:c r="G860" s="2" t="str">
        <x:v>기혼</x:v>
      </x:c>
      <x:c r="H860" s="7" t="n">
        <x:v>2</x:v>
      </x:c>
      <x:c r="I860" s="2" t="str">
        <x:f>IF(H860&lt;3,H860&amp;"명","3명 이상")</x:f>
        <x:v>2명</x:v>
      </x:c>
      <x:c r="J860" s="2" t="str">
        <x:v>흡연</x:v>
      </x:c>
      <x:c r="K860" s="2" t="str">
        <x:v>없음</x:v>
      </x:c>
      <x:c r="L860" s="2" t="str">
        <x:v>암</x:v>
      </x:c>
      <x:c r="M860" s="2" t="str">
        <x:v>수호천사 암/건강보험</x:v>
      </x:c>
      <x:c r="N860" s="2" t="str">
        <x:f>VLOOKUP(M860,'분류기준'!$A$5:$B$8,2,FALSE)</x:f>
        <x:v>암/건강보험</x:v>
      </x:c>
      <x:c r="O860" s="2" t="str">
        <x:v>표적항암약물허가치료 특약</x:v>
      </x:c>
      <x:c r="P860" s="2" t="str">
        <x:f>IF(O860="선택 안함","선택 안함",IF(O860="특약 없음","특약 없음","가입"))</x:f>
        <x:v>가입</x:v>
      </x:c>
      <x:c r="Q860" s="2" t="str">
        <x:f>IF(P860="가입","가입","미가입")</x:f>
        <x:v>가입</x:v>
      </x:c>
    </x:row>
    <x:row r="861" ht="23" customHeight="1">
      <x:c r="A861" s="2" t="str">
        <x:v>C0196</x:v>
      </x:c>
      <x:c r="B861" s="7" t="n">
        <x:v>58</x:v>
      </x:c>
      <x:c r="C861" s="2" t="str">
        <x:f>INT(B861/10)*10&amp;"대"</x:f>
        <x:v>50대</x:v>
      </x:c>
      <x:c r="D861" s="2" t="str">
        <x:v>여성</x:v>
      </x:c>
      <x:c r="E861" s="7" t="n">
        <x:v>6000</x:v>
      </x:c>
      <x:c r="F861" s="7" t="n">
        <x:v>1</x:v>
      </x:c>
      <x:c r="G861" s="2" t="str">
        <x:v>기혼</x:v>
      </x:c>
      <x:c r="H861" s="7" t="n">
        <x:v>1</x:v>
      </x:c>
      <x:c r="I861" s="2" t="str">
        <x:f>IF(H861&lt;3,H861&amp;"명","3명 이상")</x:f>
        <x:v>1명</x:v>
      </x:c>
      <x:c r="J861" s="2" t="str">
        <x:v>비흡연</x:v>
      </x:c>
      <x:c r="K861" s="2" t="str">
        <x:v>고혈압</x:v>
      </x:c>
      <x:c r="L861" s="2" t="str">
        <x:v>심혈관</x:v>
      </x:c>
      <x:c r="M861" s="2" t="str">
        <x:v>수호천사 간편심사(유병자)보험</x:v>
      </x:c>
      <x:c r="N861" s="2" t="str">
        <x:f>VLOOKUP(M861,'분류기준'!$A$5:$B$8,2,FALSE)</x:f>
        <x:v>간편심사보험</x:v>
      </x:c>
      <x:c r="O861" s="2" t="str">
        <x:v>중증질환 산정특례 보장 특약</x:v>
      </x:c>
      <x:c r="P861" s="2" t="str">
        <x:f>IF(O861="선택 안함","선택 안함",IF(O861="특약 없음","특약 없음","가입"))</x:f>
        <x:v>가입</x:v>
      </x:c>
      <x:c r="Q861" s="2" t="str">
        <x:f>IF(P861="가입","가입","미가입")</x:f>
        <x:v>가입</x:v>
      </x:c>
    </x:row>
    <x:row r="862" ht="23" customHeight="1">
      <x:c r="A862" s="2" t="str">
        <x:v>C0245</x:v>
      </x:c>
      <x:c r="B862" s="7" t="n">
        <x:v>58</x:v>
      </x:c>
      <x:c r="C862" s="2" t="str">
        <x:f>INT(B862/10)*10&amp;"대"</x:f>
        <x:v>50대</x:v>
      </x:c>
      <x:c r="D862" s="2" t="str">
        <x:v>여성</x:v>
      </x:c>
      <x:c r="E862" s="7" t="n">
        <x:v>12000</x:v>
      </x:c>
      <x:c r="F862" s="7" t="n">
        <x:v>1</x:v>
      </x:c>
      <x:c r="G862" s="2" t="str">
        <x:v>기혼</x:v>
      </x:c>
      <x:c r="H862" s="7" t="n">
        <x:v>1</x:v>
      </x:c>
      <x:c r="I862" s="2" t="str">
        <x:f>IF(H862&lt;3,H862&amp;"명","3명 이상")</x:f>
        <x:v>1명</x:v>
      </x:c>
      <x:c r="J862" s="2" t="str">
        <x:v>흡연</x:v>
      </x:c>
      <x:c r="K862" s="2" t="str">
        <x:v>없음</x:v>
      </x:c>
      <x:c r="L862" s="2" t="str">
        <x:v>암</x:v>
      </x:c>
      <x:c r="M862" s="2" t="str">
        <x:v>수호천사 우리가족 종신보험</x:v>
      </x:c>
      <x:c r="N862" s="2" t="str">
        <x:f>VLOOKUP(M862,'분류기준'!$A$5:$B$8,2,FALSE)</x:f>
        <x:v>종신보험</x:v>
      </x:c>
      <x:c r="O862" s="2" t="str">
        <x:v>가족 수입 보장 특약</x:v>
      </x:c>
      <x:c r="P862" s="2" t="str">
        <x:f>IF(O862="선택 안함","선택 안함",IF(O862="특약 없음","특약 없음","가입"))</x:f>
        <x:v>가입</x:v>
      </x:c>
      <x:c r="Q862" s="2" t="str">
        <x:f>IF(P862="가입","가입","미가입")</x:f>
        <x:v>가입</x:v>
      </x:c>
    </x:row>
    <x:row r="863" ht="23" customHeight="1">
      <x:c r="A863" s="2" t="str">
        <x:v>C0369</x:v>
      </x:c>
      <x:c r="B863" s="7" t="n">
        <x:v>58</x:v>
      </x:c>
      <x:c r="C863" s="2" t="str">
        <x:f>INT(B863/10)*10&amp;"대"</x:f>
        <x:v>50대</x:v>
      </x:c>
      <x:c r="D863" s="2" t="str">
        <x:v>남성</x:v>
      </x:c>
      <x:c r="E863" s="7" t="n">
        <x:v>3000</x:v>
      </x:c>
      <x:c r="F863" s="7" t="n">
        <x:v>1</x:v>
      </x:c>
      <x:c r="G863" s="2" t="str">
        <x:v>기혼</x:v>
      </x:c>
      <x:c r="H863" s="7" t="n">
        <x:v>2</x:v>
      </x:c>
      <x:c r="I863" s="2" t="str">
        <x:f>IF(H863&lt;3,H863&amp;"명","3명 이상")</x:f>
        <x:v>2명</x:v>
      </x:c>
      <x:c r="J863" s="2" t="str">
        <x:v>흡연</x:v>
      </x:c>
      <x:c r="K863" s="2" t="str">
        <x:v>고혈압</x:v>
      </x:c>
      <x:c r="L863" s="2" t="str">
        <x:v>심혈관</x:v>
      </x:c>
      <x:c r="M863" s="2" t="str">
        <x:v>수호천사 암/건강보험</x:v>
      </x:c>
      <x:c r="N863" s="2" t="str">
        <x:f>VLOOKUP(M863,'분류기준'!$A$5:$B$8,2,FALSE)</x:f>
        <x:v>암/건강보험</x:v>
      </x:c>
      <x:c r="O863" s="2" t="str">
        <x:v>표적항암약물허가치료 특약</x:v>
      </x:c>
      <x:c r="P863" s="2" t="str">
        <x:f>IF(O863="선택 안함","선택 안함",IF(O863="특약 없음","특약 없음","가입"))</x:f>
        <x:v>가입</x:v>
      </x:c>
      <x:c r="Q863" s="2" t="str">
        <x:f>IF(P863="가입","가입","미가입")</x:f>
        <x:v>가입</x:v>
      </x:c>
    </x:row>
    <x:row r="864" ht="23" customHeight="1">
      <x:c r="A864" s="2" t="str">
        <x:v>C0408</x:v>
      </x:c>
      <x:c r="B864" s="7" t="n">
        <x:v>58</x:v>
      </x:c>
      <x:c r="C864" s="2" t="str">
        <x:f>INT(B864/10)*10&amp;"대"</x:f>
        <x:v>50대</x:v>
      </x:c>
      <x:c r="D864" s="2" t="str">
        <x:v>남성</x:v>
      </x:c>
      <x:c r="E864" s="7" t="n">
        <x:v>3000</x:v>
      </x:c>
      <x:c r="F864" s="7" t="n">
        <x:v>1</x:v>
      </x:c>
      <x:c r="G864" s="2" t="str">
        <x:v>기혼</x:v>
      </x:c>
      <x:c r="H864" s="7" t="n">
        <x:v>0</x:v>
      </x:c>
      <x:c r="I864" s="2" t="str">
        <x:f>IF(H864&lt;3,H864&amp;"명","3명 이상")</x:f>
        <x:v>0명</x:v>
      </x:c>
      <x:c r="J864" s="2" t="str">
        <x:v>비흡연</x:v>
      </x:c>
      <x:c r="K864" s="2" t="str">
        <x:v>당뇨</x:v>
      </x:c>
      <x:c r="L864" s="2" t="str">
        <x:v>암</x:v>
      </x:c>
      <x:c r="M864" s="2" t="str">
        <x:v>수호천사 간편심사(유병자)보험</x:v>
      </x:c>
      <x:c r="N864" s="2" t="str">
        <x:f>VLOOKUP(M864,'분류기준'!$A$5:$B$8,2,FALSE)</x:f>
        <x:v>간편심사보험</x:v>
      </x:c>
      <x:c r="O864" s="2" t="str">
        <x:v>중증질환 산정특례 보장 특약</x:v>
      </x:c>
      <x:c r="P864" s="2" t="str">
        <x:f>IF(O864="선택 안함","선택 안함",IF(O864="특약 없음","특약 없음","가입"))</x:f>
        <x:v>가입</x:v>
      </x:c>
      <x:c r="Q864" s="2" t="str">
        <x:f>IF(P864="가입","가입","미가입")</x:f>
        <x:v>가입</x:v>
      </x:c>
    </x:row>
    <x:row r="865" ht="23" customHeight="1">
      <x:c r="A865" s="2" t="str">
        <x:v>C0439</x:v>
      </x:c>
      <x:c r="B865" s="7" t="n">
        <x:v>58</x:v>
      </x:c>
      <x:c r="C865" s="2" t="str">
        <x:f>INT(B865/10)*10&amp;"대"</x:f>
        <x:v>50대</x:v>
      </x:c>
      <x:c r="D865" s="2" t="str">
        <x:v>여성</x:v>
      </x:c>
      <x:c r="E865" s="7" t="n">
        <x:v>5000</x:v>
      </x:c>
      <x:c r="F865" s="7" t="n">
        <x:v>1</x:v>
      </x:c>
      <x:c r="G865" s="2" t="str">
        <x:v>기혼</x:v>
      </x:c>
      <x:c r="H865" s="7" t="n">
        <x:v>1</x:v>
      </x:c>
      <x:c r="I865" s="2" t="str">
        <x:f>IF(H865&lt;3,H865&amp;"명","3명 이상")</x:f>
        <x:v>1명</x:v>
      </x:c>
      <x:c r="J865" s="2" t="str">
        <x:v>비흡연</x:v>
      </x:c>
      <x:c r="K865" s="2" t="str">
        <x:v>당뇨</x:v>
      </x:c>
      <x:c r="L865" s="2" t="str">
        <x:v>없음</x:v>
      </x:c>
      <x:c r="M865" s="2" t="str">
        <x:v>수호천사 간편심사(유병자)보험</x:v>
      </x:c>
      <x:c r="N865" s="2" t="str">
        <x:f>VLOOKUP(M865,'분류기준'!$A$5:$B$8,2,FALSE)</x:f>
        <x:v>간편심사보험</x:v>
      </x:c>
      <x:c r="O865" s="2" t="str">
        <x:v>선택 안함</x:v>
      </x:c>
      <x:c r="P865" s="2" t="str">
        <x:f>IF(O865="선택 안함","선택 안함",IF(O865="특약 없음","특약 없음","가입"))</x:f>
        <x:v>선택 안함</x:v>
      </x:c>
      <x:c r="Q865" s="2" t="str">
        <x:f>IF(P865="가입","가입","미가입")</x:f>
        <x:v>미가입</x:v>
      </x:c>
    </x:row>
    <x:row r="866" ht="23" customHeight="1">
      <x:c r="A866" s="2" t="str">
        <x:v>C0461</x:v>
      </x:c>
      <x:c r="B866" s="7" t="n">
        <x:v>58</x:v>
      </x:c>
      <x:c r="C866" s="2" t="str">
        <x:f>INT(B866/10)*10&amp;"대"</x:f>
        <x:v>50대</x:v>
      </x:c>
      <x:c r="D866" s="2" t="str">
        <x:v>여성</x:v>
      </x:c>
      <x:c r="E866" s="7" t="n">
        <x:v>4000</x:v>
      </x:c>
      <x:c r="F866" s="7" t="n">
        <x:v>1</x:v>
      </x:c>
      <x:c r="G866" s="2" t="str">
        <x:v>기혼</x:v>
      </x:c>
      <x:c r="H866" s="7" t="n">
        <x:v>0</x:v>
      </x:c>
      <x:c r="I866" s="2" t="str">
        <x:f>IF(H866&lt;3,H866&amp;"명","3명 이상")</x:f>
        <x:v>0명</x:v>
      </x:c>
      <x:c r="J866" s="2" t="str">
        <x:v>비흡연</x:v>
      </x:c>
      <x:c r="K866" s="2" t="str">
        <x:v>당뇨</x:v>
      </x:c>
      <x:c r="L866" s="2" t="str">
        <x:v>없음</x:v>
      </x:c>
      <x:c r="M866" s="2" t="str">
        <x:v>수호천사 행복 연금보험</x:v>
      </x:c>
      <x:c r="N866" s="2" t="str">
        <x:f>VLOOKUP(M866,'분류기준'!$A$5:$B$8,2,FALSE)</x:f>
        <x:v>연금보험</x:v>
      </x:c>
      <x:c r="O866" s="2" t="str">
        <x:v>특약 없음</x:v>
      </x:c>
      <x:c r="P866" s="2" t="str">
        <x:f>IF(O866="선택 안함","선택 안함",IF(O866="특약 없음","특약 없음","가입"))</x:f>
        <x:v>특약 없음</x:v>
      </x:c>
      <x:c r="Q866" s="2" t="str">
        <x:f>IF(P866="가입","가입","미가입")</x:f>
        <x:v>미가입</x:v>
      </x:c>
    </x:row>
    <x:row r="867" ht="23" customHeight="1">
      <x:c r="A867" s="2" t="str">
        <x:v>C0536</x:v>
      </x:c>
      <x:c r="B867" s="7" t="n">
        <x:v>58</x:v>
      </x:c>
      <x:c r="C867" s="2" t="str">
        <x:f>INT(B867/10)*10&amp;"대"</x:f>
        <x:v>50대</x:v>
      </x:c>
      <x:c r="D867" s="2" t="str">
        <x:v>여성</x:v>
      </x:c>
      <x:c r="E867" s="7" t="n">
        <x:v>9000</x:v>
      </x:c>
      <x:c r="F867" s="7" t="n">
        <x:v>2</x:v>
      </x:c>
      <x:c r="G867" s="2" t="str">
        <x:v>기혼</x:v>
      </x:c>
      <x:c r="H867" s="7" t="n">
        <x:v>2</x:v>
      </x:c>
      <x:c r="I867" s="2" t="str">
        <x:f>IF(H867&lt;3,H867&amp;"명","3명 이상")</x:f>
        <x:v>2명</x:v>
      </x:c>
      <x:c r="J867" s="2" t="str">
        <x:v>비흡연</x:v>
      </x:c>
      <x:c r="K867" s="2" t="str">
        <x:v>당뇨</x:v>
      </x:c>
      <x:c r="L867" s="2" t="str">
        <x:v>없음</x:v>
      </x:c>
      <x:c r="M867" s="2" t="str">
        <x:v>수호천사 간편심사(유병자)보험</x:v>
      </x:c>
      <x:c r="N867" s="2" t="str">
        <x:f>VLOOKUP(M867,'분류기준'!$A$5:$B$8,2,FALSE)</x:f>
        <x:v>간편심사보험</x:v>
      </x:c>
      <x:c r="O867" s="2" t="str">
        <x:v>중증질환 산정특례 보장 특약</x:v>
      </x:c>
      <x:c r="P867" s="2" t="str">
        <x:f>IF(O867="선택 안함","선택 안함",IF(O867="특약 없음","특약 없음","가입"))</x:f>
        <x:v>가입</x:v>
      </x:c>
      <x:c r="Q867" s="2" t="str">
        <x:f>IF(P867="가입","가입","미가입")</x:f>
        <x:v>가입</x:v>
      </x:c>
    </x:row>
    <x:row r="868" ht="23" customHeight="1">
      <x:c r="A868" s="2" t="str">
        <x:v>C0575</x:v>
      </x:c>
      <x:c r="B868" s="7" t="n">
        <x:v>58</x:v>
      </x:c>
      <x:c r="C868" s="2" t="str">
        <x:f>INT(B868/10)*10&amp;"대"</x:f>
        <x:v>50대</x:v>
      </x:c>
      <x:c r="D868" s="2" t="str">
        <x:v>여성</x:v>
      </x:c>
      <x:c r="E868" s="7" t="n">
        <x:v>7500</x:v>
      </x:c>
      <x:c r="F868" s="7" t="n">
        <x:v>1</x:v>
      </x:c>
      <x:c r="G868" s="2" t="str">
        <x:v>기혼</x:v>
      </x:c>
      <x:c r="H868" s="7" t="n">
        <x:v>2</x:v>
      </x:c>
      <x:c r="I868" s="2" t="str">
        <x:f>IF(H868&lt;3,H868&amp;"명","3명 이상")</x:f>
        <x:v>2명</x:v>
      </x:c>
      <x:c r="J868" s="2" t="str">
        <x:v>흡연</x:v>
      </x:c>
      <x:c r="K868" s="2" t="str">
        <x:v>고혈압</x:v>
      </x:c>
      <x:c r="L868" s="2" t="str">
        <x:v>없음</x:v>
      </x:c>
      <x:c r="M868" s="2" t="str">
        <x:v>수호천사 행복 연금보험</x:v>
      </x:c>
      <x:c r="N868" s="2" t="str">
        <x:f>VLOOKUP(M868,'분류기준'!$A$5:$B$8,2,FALSE)</x:f>
        <x:v>연금보험</x:v>
      </x:c>
      <x:c r="O868" s="2" t="str">
        <x:v>특약 없음</x:v>
      </x:c>
      <x:c r="P868" s="2" t="str">
        <x:f>IF(O868="선택 안함","선택 안함",IF(O868="특약 없음","특약 없음","가입"))</x:f>
        <x:v>특약 없음</x:v>
      </x:c>
      <x:c r="Q868" s="2" t="str">
        <x:f>IF(P868="가입","가입","미가입")</x:f>
        <x:v>미가입</x:v>
      </x:c>
    </x:row>
    <x:row r="869" ht="23" customHeight="1">
      <x:c r="A869" s="2" t="str">
        <x:v>C0578</x:v>
      </x:c>
      <x:c r="B869" s="7" t="n">
        <x:v>58</x:v>
      </x:c>
      <x:c r="C869" s="2" t="str">
        <x:f>INT(B869/10)*10&amp;"대"</x:f>
        <x:v>50대</x:v>
      </x:c>
      <x:c r="D869" s="2" t="str">
        <x:v>여성</x:v>
      </x:c>
      <x:c r="E869" s="7" t="n">
        <x:v>4000</x:v>
      </x:c>
      <x:c r="F869" s="7" t="n">
        <x:v>1</x:v>
      </x:c>
      <x:c r="G869" s="2" t="str">
        <x:v>기혼</x:v>
      </x:c>
      <x:c r="H869" s="7" t="n">
        <x:v>0</x:v>
      </x:c>
      <x:c r="I869" s="2" t="str">
        <x:f>IF(H869&lt;3,H869&amp;"명","3명 이상")</x:f>
        <x:v>0명</x:v>
      </x:c>
      <x:c r="J869" s="2" t="str">
        <x:v>비흡연</x:v>
      </x:c>
      <x:c r="K869" s="2" t="str">
        <x:v>당뇨</x:v>
      </x:c>
      <x:c r="L869" s="2" t="str">
        <x:v>심혈관</x:v>
      </x:c>
      <x:c r="M869" s="2" t="str">
        <x:v>수호천사 암/건강보험</x:v>
      </x:c>
      <x:c r="N869" s="2" t="str">
        <x:f>VLOOKUP(M869,'분류기준'!$A$5:$B$8,2,FALSE)</x:f>
        <x:v>암/건강보험</x:v>
      </x:c>
      <x:c r="O869" s="2" t="str">
        <x:v>표적항암약물허가치료 특약</x:v>
      </x:c>
      <x:c r="P869" s="2" t="str">
        <x:f>IF(O869="선택 안함","선택 안함",IF(O869="특약 없음","특약 없음","가입"))</x:f>
        <x:v>가입</x:v>
      </x:c>
      <x:c r="Q869" s="2" t="str">
        <x:f>IF(P869="가입","가입","미가입")</x:f>
        <x:v>가입</x:v>
      </x:c>
    </x:row>
    <x:row r="870" ht="23" customHeight="1">
      <x:c r="A870" s="2" t="str">
        <x:v>C0621</x:v>
      </x:c>
      <x:c r="B870" s="7" t="n">
        <x:v>58</x:v>
      </x:c>
      <x:c r="C870" s="2" t="str">
        <x:f>INT(B870/10)*10&amp;"대"</x:f>
        <x:v>50대</x:v>
      </x:c>
      <x:c r="D870" s="2" t="str">
        <x:v>남성</x:v>
      </x:c>
      <x:c r="E870" s="7" t="n">
        <x:v>6000</x:v>
      </x:c>
      <x:c r="F870" s="7" t="n">
        <x:v>1</x:v>
      </x:c>
      <x:c r="G870" s="2" t="str">
        <x:v>기혼</x:v>
      </x:c>
      <x:c r="H870" s="7" t="n">
        <x:v>2</x:v>
      </x:c>
      <x:c r="I870" s="2" t="str">
        <x:f>IF(H870&lt;3,H870&amp;"명","3명 이상")</x:f>
        <x:v>2명</x:v>
      </x:c>
      <x:c r="J870" s="2" t="str">
        <x:v>흡연</x:v>
      </x:c>
      <x:c r="K870" s="2" t="str">
        <x:v>당뇨</x:v>
      </x:c>
      <x:c r="L870" s="2" t="str">
        <x:v>암</x:v>
      </x:c>
      <x:c r="M870" s="2" t="str">
        <x:v>수호천사 암/건강보험</x:v>
      </x:c>
      <x:c r="N870" s="2" t="str">
        <x:f>VLOOKUP(M870,'분류기준'!$A$5:$B$8,2,FALSE)</x:f>
        <x:v>암/건강보험</x:v>
      </x:c>
      <x:c r="O870" s="2" t="str">
        <x:v>표적항암약물허가치료 특약</x:v>
      </x:c>
      <x:c r="P870" s="2" t="str">
        <x:f>IF(O870="선택 안함","선택 안함",IF(O870="특약 없음","특약 없음","가입"))</x:f>
        <x:v>가입</x:v>
      </x:c>
      <x:c r="Q870" s="2" t="str">
        <x:f>IF(P870="가입","가입","미가입")</x:f>
        <x:v>가입</x:v>
      </x:c>
    </x:row>
    <x:row r="871" ht="23" customHeight="1">
      <x:c r="A871" s="2" t="str">
        <x:v>C0626</x:v>
      </x:c>
      <x:c r="B871" s="7" t="n">
        <x:v>58</x:v>
      </x:c>
      <x:c r="C871" s="2" t="str">
        <x:f>INT(B871/10)*10&amp;"대"</x:f>
        <x:v>50대</x:v>
      </x:c>
      <x:c r="D871" s="2" t="str">
        <x:v>여성</x:v>
      </x:c>
      <x:c r="E871" s="7" t="n">
        <x:v>5000</x:v>
      </x:c>
      <x:c r="F871" s="7" t="n">
        <x:v>1</x:v>
      </x:c>
      <x:c r="G871" s="2" t="str">
        <x:v>기혼</x:v>
      </x:c>
      <x:c r="H871" s="7" t="n">
        <x:v>0</x:v>
      </x:c>
      <x:c r="I871" s="2" t="str">
        <x:f>IF(H871&lt;3,H871&amp;"명","3명 이상")</x:f>
        <x:v>0명</x:v>
      </x:c>
      <x:c r="J871" s="2" t="str">
        <x:v>비흡연</x:v>
      </x:c>
      <x:c r="K871" s="2" t="str">
        <x:v>당뇨</x:v>
      </x:c>
      <x:c r="L871" s="2" t="str">
        <x:v>없음</x:v>
      </x:c>
      <x:c r="M871" s="2" t="str">
        <x:v>수호천사 간편심사(유병자)보험</x:v>
      </x:c>
      <x:c r="N871" s="2" t="str">
        <x:f>VLOOKUP(M871,'분류기준'!$A$5:$B$8,2,FALSE)</x:f>
        <x:v>간편심사보험</x:v>
      </x:c>
      <x:c r="O871" s="2" t="str">
        <x:v>중증질환 산정특례 보장 특약</x:v>
      </x:c>
      <x:c r="P871" s="2" t="str">
        <x:f>IF(O871="선택 안함","선택 안함",IF(O871="특약 없음","특약 없음","가입"))</x:f>
        <x:v>가입</x:v>
      </x:c>
      <x:c r="Q871" s="2" t="str">
        <x:f>IF(P871="가입","가입","미가입")</x:f>
        <x:v>가입</x:v>
      </x:c>
    </x:row>
    <x:row r="872" ht="23" customHeight="1">
      <x:c r="A872" s="2" t="str">
        <x:v>C0635</x:v>
      </x:c>
      <x:c r="B872" s="7" t="n">
        <x:v>58</x:v>
      </x:c>
      <x:c r="C872" s="2" t="str">
        <x:f>INT(B872/10)*10&amp;"대"</x:f>
        <x:v>50대</x:v>
      </x:c>
      <x:c r="D872" s="2" t="str">
        <x:v>여성</x:v>
      </x:c>
      <x:c r="E872" s="7" t="n">
        <x:v>7500</x:v>
      </x:c>
      <x:c r="F872" s="7" t="n">
        <x:v>1</x:v>
      </x:c>
      <x:c r="G872" s="2" t="str">
        <x:v>기혼</x:v>
      </x:c>
      <x:c r="H872" s="7" t="n">
        <x:v>1</x:v>
      </x:c>
      <x:c r="I872" s="2" t="str">
        <x:f>IF(H872&lt;3,H872&amp;"명","3명 이상")</x:f>
        <x:v>1명</x:v>
      </x:c>
      <x:c r="J872" s="2" t="str">
        <x:v>비흡연</x:v>
      </x:c>
      <x:c r="K872" s="2" t="str">
        <x:v>없음</x:v>
      </x:c>
      <x:c r="L872" s="2" t="str">
        <x:v>암</x:v>
      </x:c>
      <x:c r="M872" s="2" t="str">
        <x:v>수호천사 암/건강보험</x:v>
      </x:c>
      <x:c r="N872" s="2" t="str">
        <x:f>VLOOKUP(M872,'분류기준'!$A$5:$B$8,2,FALSE)</x:f>
        <x:v>암/건강보험</x:v>
      </x:c>
      <x:c r="O872" s="2" t="str">
        <x:v>표적항암약물허가치료 특약</x:v>
      </x:c>
      <x:c r="P872" s="2" t="str">
        <x:f>IF(O872="선택 안함","선택 안함",IF(O872="특약 없음","특약 없음","가입"))</x:f>
        <x:v>가입</x:v>
      </x:c>
      <x:c r="Q872" s="2" t="str">
        <x:f>IF(P872="가입","가입","미가입")</x:f>
        <x:v>가입</x:v>
      </x:c>
    </x:row>
    <x:row r="873" ht="23" customHeight="1">
      <x:c r="A873" s="2" t="str">
        <x:v>C0753</x:v>
      </x:c>
      <x:c r="B873" s="7" t="n">
        <x:v>58</x:v>
      </x:c>
      <x:c r="C873" s="2" t="str">
        <x:f>INT(B873/10)*10&amp;"대"</x:f>
        <x:v>50대</x:v>
      </x:c>
      <x:c r="D873" s="2" t="str">
        <x:v>남성</x:v>
      </x:c>
      <x:c r="E873" s="7" t="n">
        <x:v>3000</x:v>
      </x:c>
      <x:c r="F873" s="7" t="n">
        <x:v>1</x:v>
      </x:c>
      <x:c r="G873" s="2" t="str">
        <x:v>기혼</x:v>
      </x:c>
      <x:c r="H873" s="7" t="n">
        <x:v>1</x:v>
      </x:c>
      <x:c r="I873" s="2" t="str">
        <x:f>IF(H873&lt;3,H873&amp;"명","3명 이상")</x:f>
        <x:v>1명</x:v>
      </x:c>
      <x:c r="J873" s="2" t="str">
        <x:v>흡연</x:v>
      </x:c>
      <x:c r="K873" s="2" t="str">
        <x:v>고혈압</x:v>
      </x:c>
      <x:c r="L873" s="2" t="str">
        <x:v>암</x:v>
      </x:c>
      <x:c r="M873" s="2" t="str">
        <x:v>수호천사 간편심사(유병자)보험</x:v>
      </x:c>
      <x:c r="N873" s="2" t="str">
        <x:f>VLOOKUP(M873,'분류기준'!$A$5:$B$8,2,FALSE)</x:f>
        <x:v>간편심사보험</x:v>
      </x:c>
      <x:c r="O873" s="2" t="str">
        <x:v>중증질환 산정특례 보장 특약</x:v>
      </x:c>
      <x:c r="P873" s="2" t="str">
        <x:f>IF(O873="선택 안함","선택 안함",IF(O873="특약 없음","특약 없음","가입"))</x:f>
        <x:v>가입</x:v>
      </x:c>
      <x:c r="Q873" s="2" t="str">
        <x:f>IF(P873="가입","가입","미가입")</x:f>
        <x:v>가입</x:v>
      </x:c>
    </x:row>
    <x:row r="874" ht="23" customHeight="1">
      <x:c r="A874" s="2" t="str">
        <x:v>C0771</x:v>
      </x:c>
      <x:c r="B874" s="7" t="n">
        <x:v>58</x:v>
      </x:c>
      <x:c r="C874" s="2" t="str">
        <x:f>INT(B874/10)*10&amp;"대"</x:f>
        <x:v>50대</x:v>
      </x:c>
      <x:c r="D874" s="2" t="str">
        <x:v>여성</x:v>
      </x:c>
      <x:c r="E874" s="7" t="n">
        <x:v>5000</x:v>
      </x:c>
      <x:c r="F874" s="7" t="n">
        <x:v>1</x:v>
      </x:c>
      <x:c r="G874" s="2" t="str">
        <x:v>기혼</x:v>
      </x:c>
      <x:c r="H874" s="7" t="n">
        <x:v>0</x:v>
      </x:c>
      <x:c r="I874" s="2" t="str">
        <x:f>IF(H874&lt;3,H874&amp;"명","3명 이상")</x:f>
        <x:v>0명</x:v>
      </x:c>
      <x:c r="J874" s="2" t="str">
        <x:v>비흡연</x:v>
      </x:c>
      <x:c r="K874" s="2" t="str">
        <x:v>당뇨</x:v>
      </x:c>
      <x:c r="L874" s="2" t="str">
        <x:v>없음</x:v>
      </x:c>
      <x:c r="M874" s="2" t="str">
        <x:v>수호천사 행복 연금보험</x:v>
      </x:c>
      <x:c r="N874" s="2" t="str">
        <x:f>VLOOKUP(M874,'분류기준'!$A$5:$B$8,2,FALSE)</x:f>
        <x:v>연금보험</x:v>
      </x:c>
      <x:c r="O874" s="2" t="str">
        <x:v>특약 없음</x:v>
      </x:c>
      <x:c r="P874" s="2" t="str">
        <x:f>IF(O874="선택 안함","선택 안함",IF(O874="특약 없음","특약 없음","가입"))</x:f>
        <x:v>특약 없음</x:v>
      </x:c>
      <x:c r="Q874" s="2" t="str">
        <x:f>IF(P874="가입","가입","미가입")</x:f>
        <x:v>미가입</x:v>
      </x:c>
    </x:row>
    <x:row r="875" ht="23" customHeight="1">
      <x:c r="A875" s="2" t="str">
        <x:v>C0878</x:v>
      </x:c>
      <x:c r="B875" s="7" t="n">
        <x:v>58</x:v>
      </x:c>
      <x:c r="C875" s="2" t="str">
        <x:f>INT(B875/10)*10&amp;"대"</x:f>
        <x:v>50대</x:v>
      </x:c>
      <x:c r="D875" s="2" t="str">
        <x:v>남성</x:v>
      </x:c>
      <x:c r="E875" s="7" t="n">
        <x:v>6000</x:v>
      </x:c>
      <x:c r="F875" s="7" t="n">
        <x:v>1</x:v>
      </x:c>
      <x:c r="G875" s="2" t="str">
        <x:v>기혼</x:v>
      </x:c>
      <x:c r="H875" s="7" t="n">
        <x:v>0</x:v>
      </x:c>
      <x:c r="I875" s="2" t="str">
        <x:f>IF(H875&lt;3,H875&amp;"명","3명 이상")</x:f>
        <x:v>0명</x:v>
      </x:c>
      <x:c r="J875" s="2" t="str">
        <x:v>비흡연</x:v>
      </x:c>
      <x:c r="K875" s="2" t="str">
        <x:v>없음</x:v>
      </x:c>
      <x:c r="L875" s="2" t="str">
        <x:v>없음</x:v>
      </x:c>
      <x:c r="M875" s="2" t="str">
        <x:v>수호천사 행복 연금보험</x:v>
      </x:c>
      <x:c r="N875" s="2" t="str">
        <x:f>VLOOKUP(M875,'분류기준'!$A$5:$B$8,2,FALSE)</x:f>
        <x:v>연금보험</x:v>
      </x:c>
      <x:c r="O875" s="2" t="str">
        <x:v>특약 없음</x:v>
      </x:c>
      <x:c r="P875" s="2" t="str">
        <x:f>IF(O875="선택 안함","선택 안함",IF(O875="특약 없음","특약 없음","가입"))</x:f>
        <x:v>특약 없음</x:v>
      </x:c>
      <x:c r="Q875" s="2" t="str">
        <x:f>IF(P875="가입","가입","미가입")</x:f>
        <x:v>미가입</x:v>
      </x:c>
    </x:row>
    <x:row r="876" ht="23" customHeight="1">
      <x:c r="A876" s="2" t="str">
        <x:v>C0880</x:v>
      </x:c>
      <x:c r="B876" s="7" t="n">
        <x:v>58</x:v>
      </x:c>
      <x:c r="C876" s="2" t="str">
        <x:f>INT(B876/10)*10&amp;"대"</x:f>
        <x:v>50대</x:v>
      </x:c>
      <x:c r="D876" s="2" t="str">
        <x:v>남성</x:v>
      </x:c>
      <x:c r="E876" s="7" t="n">
        <x:v>4000</x:v>
      </x:c>
      <x:c r="F876" s="7" t="n">
        <x:v>1</x:v>
      </x:c>
      <x:c r="G876" s="2" t="str">
        <x:v>기혼</x:v>
      </x:c>
      <x:c r="H876" s="7" t="n">
        <x:v>1</x:v>
      </x:c>
      <x:c r="I876" s="2" t="str">
        <x:f>IF(H876&lt;3,H876&amp;"명","3명 이상")</x:f>
        <x:v>1명</x:v>
      </x:c>
      <x:c r="J876" s="2" t="str">
        <x:v>비흡연</x:v>
      </x:c>
      <x:c r="K876" s="2" t="str">
        <x:v>고혈압</x:v>
      </x:c>
      <x:c r="L876" s="2" t="str">
        <x:v>없음</x:v>
      </x:c>
      <x:c r="M876" s="2" t="str">
        <x:v>수호천사 암/건강보험</x:v>
      </x:c>
      <x:c r="N876" s="2" t="str">
        <x:f>VLOOKUP(M876,'분류기준'!$A$5:$B$8,2,FALSE)</x:f>
        <x:v>암/건강보험</x:v>
      </x:c>
      <x:c r="O876" s="2" t="str">
        <x:v>표적항암약물허가치료 특약</x:v>
      </x:c>
      <x:c r="P876" s="2" t="str">
        <x:f>IF(O876="선택 안함","선택 안함",IF(O876="특약 없음","특약 없음","가입"))</x:f>
        <x:v>가입</x:v>
      </x:c>
      <x:c r="Q876" s="2" t="str">
        <x:f>IF(P876="가입","가입","미가입")</x:f>
        <x:v>가입</x:v>
      </x:c>
    </x:row>
    <x:row r="877" ht="23" customHeight="1">
      <x:c r="A877" s="2" t="str">
        <x:v>C0014</x:v>
      </x:c>
      <x:c r="B877" s="7" t="n">
        <x:v>59</x:v>
      </x:c>
      <x:c r="C877" s="2" t="str">
        <x:f>INT(B877/10)*10&amp;"대"</x:f>
        <x:v>50대</x:v>
      </x:c>
      <x:c r="D877" s="2" t="str">
        <x:v>여성</x:v>
      </x:c>
      <x:c r="E877" s="7" t="n">
        <x:v>6000</x:v>
      </x:c>
      <x:c r="F877" s="7" t="n">
        <x:v>1</x:v>
      </x:c>
      <x:c r="G877" s="2" t="str">
        <x:v>기혼</x:v>
      </x:c>
      <x:c r="H877" s="7" t="n">
        <x:v>1</x:v>
      </x:c>
      <x:c r="I877" s="2" t="str">
        <x:f>IF(H877&lt;3,H877&amp;"명","3명 이상")</x:f>
        <x:v>1명</x:v>
      </x:c>
      <x:c r="J877" s="2" t="str">
        <x:v>비흡연</x:v>
      </x:c>
      <x:c r="K877" s="2" t="str">
        <x:v>없음</x:v>
      </x:c>
      <x:c r="L877" s="2" t="str">
        <x:v>없음</x:v>
      </x:c>
      <x:c r="M877" s="2" t="str">
        <x:v>수호천사 암/건강보험</x:v>
      </x:c>
      <x:c r="N877" s="2" t="str">
        <x:f>VLOOKUP(M877,'분류기준'!$A$5:$B$8,2,FALSE)</x:f>
        <x:v>암/건강보험</x:v>
      </x:c>
      <x:c r="O877" s="2" t="str">
        <x:v>표적항암약물허가치료 특약</x:v>
      </x:c>
      <x:c r="P877" s="2" t="str">
        <x:f>IF(O877="선택 안함","선택 안함",IF(O877="특약 없음","특약 없음","가입"))</x:f>
        <x:v>가입</x:v>
      </x:c>
      <x:c r="Q877" s="2" t="str">
        <x:f>IF(P877="가입","가입","미가입")</x:f>
        <x:v>가입</x:v>
      </x:c>
    </x:row>
    <x:row r="878" ht="23" customHeight="1">
      <x:c r="A878" s="2" t="str">
        <x:v>C0058</x:v>
      </x:c>
      <x:c r="B878" s="7" t="n">
        <x:v>59</x:v>
      </x:c>
      <x:c r="C878" s="2" t="str">
        <x:f>INT(B878/10)*10&amp;"대"</x:f>
        <x:v>50대</x:v>
      </x:c>
      <x:c r="D878" s="2" t="str">
        <x:v>여성</x:v>
      </x:c>
      <x:c r="E878" s="7" t="n">
        <x:v>4000</x:v>
      </x:c>
      <x:c r="F878" s="7" t="n">
        <x:v>1</x:v>
      </x:c>
      <x:c r="G878" s="2" t="str">
        <x:v>기혼</x:v>
      </x:c>
      <x:c r="H878" s="7" t="n">
        <x:v>2</x:v>
      </x:c>
      <x:c r="I878" s="2" t="str">
        <x:f>IF(H878&lt;3,H878&amp;"명","3명 이상")</x:f>
        <x:v>2명</x:v>
      </x:c>
      <x:c r="J878" s="2" t="str">
        <x:v>비흡연</x:v>
      </x:c>
      <x:c r="K878" s="2" t="str">
        <x:v>당뇨</x:v>
      </x:c>
      <x:c r="L878" s="2" t="str">
        <x:v>없음</x:v>
      </x:c>
      <x:c r="M878" s="2" t="str">
        <x:v>수호천사 우리가족 종신보험</x:v>
      </x:c>
      <x:c r="N878" s="2" t="str">
        <x:f>VLOOKUP(M878,'분류기준'!$A$5:$B$8,2,FALSE)</x:f>
        <x:v>종신보험</x:v>
      </x:c>
      <x:c r="O878" s="2" t="str">
        <x:v>선택 안함</x:v>
      </x:c>
      <x:c r="P878" s="2" t="str">
        <x:f>IF(O878="선택 안함","선택 안함",IF(O878="특약 없음","특약 없음","가입"))</x:f>
        <x:v>선택 안함</x:v>
      </x:c>
      <x:c r="Q878" s="2" t="str">
        <x:f>IF(P878="가입","가입","미가입")</x:f>
        <x:v>미가입</x:v>
      </x:c>
    </x:row>
    <x:row r="879" ht="23" customHeight="1">
      <x:c r="A879" s="2" t="str">
        <x:v>C0077</x:v>
      </x:c>
      <x:c r="B879" s="7" t="n">
        <x:v>59</x:v>
      </x:c>
      <x:c r="C879" s="2" t="str">
        <x:f>INT(B879/10)*10&amp;"대"</x:f>
        <x:v>50대</x:v>
      </x:c>
      <x:c r="D879" s="2" t="str">
        <x:v>남성</x:v>
      </x:c>
      <x:c r="E879" s="7" t="n">
        <x:v>3000</x:v>
      </x:c>
      <x:c r="F879" s="7" t="n">
        <x:v>2</x:v>
      </x:c>
      <x:c r="G879" s="2" t="str">
        <x:v>기혼</x:v>
      </x:c>
      <x:c r="H879" s="7" t="n">
        <x:v>1</x:v>
      </x:c>
      <x:c r="I879" s="2" t="str">
        <x:f>IF(H879&lt;3,H879&amp;"명","3명 이상")</x:f>
        <x:v>1명</x:v>
      </x:c>
      <x:c r="J879" s="2" t="str">
        <x:v>비흡연</x:v>
      </x:c>
      <x:c r="K879" s="2" t="str">
        <x:v>없음</x:v>
      </x:c>
      <x:c r="L879" s="2" t="str">
        <x:v>심혈관</x:v>
      </x:c>
      <x:c r="M879" s="2" t="str">
        <x:v>수호천사 암/건강보험</x:v>
      </x:c>
      <x:c r="N879" s="2" t="str">
        <x:f>VLOOKUP(M879,'분류기준'!$A$5:$B$8,2,FALSE)</x:f>
        <x:v>암/건강보험</x:v>
      </x:c>
      <x:c r="O879" s="2" t="str">
        <x:v>표적항암약물허가치료 특약</x:v>
      </x:c>
      <x:c r="P879" s="2" t="str">
        <x:f>IF(O879="선택 안함","선택 안함",IF(O879="특약 없음","특약 없음","가입"))</x:f>
        <x:v>가입</x:v>
      </x:c>
      <x:c r="Q879" s="2" t="str">
        <x:f>IF(P879="가입","가입","미가입")</x:f>
        <x:v>가입</x:v>
      </x:c>
    </x:row>
    <x:row r="880" ht="23" customHeight="1">
      <x:c r="A880" s="2" t="str">
        <x:v>C0121</x:v>
      </x:c>
      <x:c r="B880" s="7" t="n">
        <x:v>59</x:v>
      </x:c>
      <x:c r="C880" s="2" t="str">
        <x:f>INT(B880/10)*10&amp;"대"</x:f>
        <x:v>50대</x:v>
      </x:c>
      <x:c r="D880" s="2" t="str">
        <x:v>남성</x:v>
      </x:c>
      <x:c r="E880" s="7" t="n">
        <x:v>3000</x:v>
      </x:c>
      <x:c r="F880" s="7" t="n">
        <x:v>1</x:v>
      </x:c>
      <x:c r="G880" s="2" t="str">
        <x:v>기혼</x:v>
      </x:c>
      <x:c r="H880" s="7" t="n">
        <x:v>1</x:v>
      </x:c>
      <x:c r="I880" s="2" t="str">
        <x:f>IF(H880&lt;3,H880&amp;"명","3명 이상")</x:f>
        <x:v>1명</x:v>
      </x:c>
      <x:c r="J880" s="2" t="str">
        <x:v>비흡연</x:v>
      </x:c>
      <x:c r="K880" s="2" t="str">
        <x:v>없음</x:v>
      </x:c>
      <x:c r="L880" s="2" t="str">
        <x:v>없음</x:v>
      </x:c>
      <x:c r="M880" s="2" t="str">
        <x:v>수호천사 간편심사(유병자)보험</x:v>
      </x:c>
      <x:c r="N880" s="2" t="str">
        <x:f>VLOOKUP(M880,'분류기준'!$A$5:$B$8,2,FALSE)</x:f>
        <x:v>간편심사보험</x:v>
      </x:c>
      <x:c r="O880" s="2" t="str">
        <x:v>중증질환 산정특례 보장 특약</x:v>
      </x:c>
      <x:c r="P880" s="2" t="str">
        <x:f>IF(O880="선택 안함","선택 안함",IF(O880="특약 없음","특약 없음","가입"))</x:f>
        <x:v>가입</x:v>
      </x:c>
      <x:c r="Q880" s="2" t="str">
        <x:f>IF(P880="가입","가입","미가입")</x:f>
        <x:v>가입</x:v>
      </x:c>
    </x:row>
    <x:row r="881" ht="23" customHeight="1">
      <x:c r="A881" s="2" t="str">
        <x:v>C0244</x:v>
      </x:c>
      <x:c r="B881" s="7" t="n">
        <x:v>59</x:v>
      </x:c>
      <x:c r="C881" s="2" t="str">
        <x:f>INT(B881/10)*10&amp;"대"</x:f>
        <x:v>50대</x:v>
      </x:c>
      <x:c r="D881" s="2" t="str">
        <x:v>여성</x:v>
      </x:c>
      <x:c r="E881" s="7" t="n">
        <x:v>5000</x:v>
      </x:c>
      <x:c r="F881" s="7" t="n">
        <x:v>1</x:v>
      </x:c>
      <x:c r="G881" s="2" t="str">
        <x:v>기혼</x:v>
      </x:c>
      <x:c r="H881" s="7" t="n">
        <x:v>2</x:v>
      </x:c>
      <x:c r="I881" s="2" t="str">
        <x:f>IF(H881&lt;3,H881&amp;"명","3명 이상")</x:f>
        <x:v>2명</x:v>
      </x:c>
      <x:c r="J881" s="2" t="str">
        <x:v>비흡연</x:v>
      </x:c>
      <x:c r="K881" s="2" t="str">
        <x:v>고혈압</x:v>
      </x:c>
      <x:c r="L881" s="2" t="str">
        <x:v>없음</x:v>
      </x:c>
      <x:c r="M881" s="2" t="str">
        <x:v>수호천사 간편심사(유병자)보험</x:v>
      </x:c>
      <x:c r="N881" s="2" t="str">
        <x:f>VLOOKUP(M881,'분류기준'!$A$5:$B$8,2,FALSE)</x:f>
        <x:v>간편심사보험</x:v>
      </x:c>
      <x:c r="O881" s="2" t="str">
        <x:v>중증질환 산정특례 보장 특약</x:v>
      </x:c>
      <x:c r="P881" s="2" t="str">
        <x:f>IF(O881="선택 안함","선택 안함",IF(O881="특약 없음","특약 없음","가입"))</x:f>
        <x:v>가입</x:v>
      </x:c>
      <x:c r="Q881" s="2" t="str">
        <x:f>IF(P881="가입","가입","미가입")</x:f>
        <x:v>가입</x:v>
      </x:c>
    </x:row>
    <x:row r="882" ht="23" customHeight="1">
      <x:c r="A882" s="2" t="str">
        <x:v>C0247</x:v>
      </x:c>
      <x:c r="B882" s="7" t="n">
        <x:v>59</x:v>
      </x:c>
      <x:c r="C882" s="2" t="str">
        <x:f>INT(B882/10)*10&amp;"대"</x:f>
        <x:v>50대</x:v>
      </x:c>
      <x:c r="D882" s="2" t="str">
        <x:v>남성</x:v>
      </x:c>
      <x:c r="E882" s="7" t="n">
        <x:v>6000</x:v>
      </x:c>
      <x:c r="F882" s="7" t="n">
        <x:v>1</x:v>
      </x:c>
      <x:c r="G882" s="2" t="str">
        <x:v>기혼</x:v>
      </x:c>
      <x:c r="H882" s="7" t="n">
        <x:v>1</x:v>
      </x:c>
      <x:c r="I882" s="2" t="str">
        <x:f>IF(H882&lt;3,H882&amp;"명","3명 이상")</x:f>
        <x:v>1명</x:v>
      </x:c>
      <x:c r="J882" s="2" t="str">
        <x:v>흡연</x:v>
      </x:c>
      <x:c r="K882" s="2" t="str">
        <x:v>당뇨</x:v>
      </x:c>
      <x:c r="L882" s="2" t="str">
        <x:v>심혈관</x:v>
      </x:c>
      <x:c r="M882" s="2" t="str">
        <x:v>수호천사 암/건강보험</x:v>
      </x:c>
      <x:c r="N882" s="2" t="str">
        <x:f>VLOOKUP(M882,'분류기준'!$A$5:$B$8,2,FALSE)</x:f>
        <x:v>암/건강보험</x:v>
      </x:c>
      <x:c r="O882" s="2" t="str">
        <x:v>수술비 보장 특약</x:v>
      </x:c>
      <x:c r="P882" s="2" t="str">
        <x:f>IF(O882="선택 안함","선택 안함",IF(O882="특약 없음","특약 없음","가입"))</x:f>
        <x:v>가입</x:v>
      </x:c>
      <x:c r="Q882" s="2" t="str">
        <x:f>IF(P882="가입","가입","미가입")</x:f>
        <x:v>가입</x:v>
      </x:c>
    </x:row>
    <x:row r="883" ht="23" customHeight="1">
      <x:c r="A883" s="2" t="str">
        <x:v>C0280</x:v>
      </x:c>
      <x:c r="B883" s="7" t="n">
        <x:v>59</x:v>
      </x:c>
      <x:c r="C883" s="2" t="str">
        <x:f>INT(B883/10)*10&amp;"대"</x:f>
        <x:v>50대</x:v>
      </x:c>
      <x:c r="D883" s="2" t="str">
        <x:v>여성</x:v>
      </x:c>
      <x:c r="E883" s="7" t="n">
        <x:v>6000</x:v>
      </x:c>
      <x:c r="F883" s="7" t="n">
        <x:v>1</x:v>
      </x:c>
      <x:c r="G883" s="2" t="str">
        <x:v>기혼</x:v>
      </x:c>
      <x:c r="H883" s="7" t="n">
        <x:v>1</x:v>
      </x:c>
      <x:c r="I883" s="2" t="str">
        <x:f>IF(H883&lt;3,H883&amp;"명","3명 이상")</x:f>
        <x:v>1명</x:v>
      </x:c>
      <x:c r="J883" s="2" t="str">
        <x:v>비흡연</x:v>
      </x:c>
      <x:c r="K883" s="2" t="str">
        <x:v>없음</x:v>
      </x:c>
      <x:c r="L883" s="2" t="str">
        <x:v>없음</x:v>
      </x:c>
      <x:c r="M883" s="2" t="str">
        <x:v>수호천사 암/건강보험</x:v>
      </x:c>
      <x:c r="N883" s="2" t="str">
        <x:f>VLOOKUP(M883,'분류기준'!$A$5:$B$8,2,FALSE)</x:f>
        <x:v>암/건강보험</x:v>
      </x:c>
      <x:c r="O883" s="2" t="str">
        <x:v>표적항암약물허가치료 특약</x:v>
      </x:c>
      <x:c r="P883" s="2" t="str">
        <x:f>IF(O883="선택 안함","선택 안함",IF(O883="특약 없음","특약 없음","가입"))</x:f>
        <x:v>가입</x:v>
      </x:c>
      <x:c r="Q883" s="2" t="str">
        <x:f>IF(P883="가입","가입","미가입")</x:f>
        <x:v>가입</x:v>
      </x:c>
    </x:row>
    <x:row r="884" ht="23" customHeight="1">
      <x:c r="A884" s="2" t="str">
        <x:v>C0353</x:v>
      </x:c>
      <x:c r="B884" s="7" t="n">
        <x:v>59</x:v>
      </x:c>
      <x:c r="C884" s="2" t="str">
        <x:f>INT(B884/10)*10&amp;"대"</x:f>
        <x:v>50대</x:v>
      </x:c>
      <x:c r="D884" s="2" t="str">
        <x:v>남성</x:v>
      </x:c>
      <x:c r="E884" s="7" t="n">
        <x:v>4000</x:v>
      </x:c>
      <x:c r="F884" s="7" t="n">
        <x:v>1</x:v>
      </x:c>
      <x:c r="G884" s="2" t="str">
        <x:v>기혼</x:v>
      </x:c>
      <x:c r="H884" s="7" t="n">
        <x:v>1</x:v>
      </x:c>
      <x:c r="I884" s="2" t="str">
        <x:f>IF(H884&lt;3,H884&amp;"명","3명 이상")</x:f>
        <x:v>1명</x:v>
      </x:c>
      <x:c r="J884" s="2" t="str">
        <x:v>비흡연</x:v>
      </x:c>
      <x:c r="K884" s="2" t="str">
        <x:v>고혈압</x:v>
      </x:c>
      <x:c r="L884" s="2" t="str">
        <x:v>없음</x:v>
      </x:c>
      <x:c r="M884" s="2" t="str">
        <x:v>수호천사 간편심사(유병자)보험</x:v>
      </x:c>
      <x:c r="N884" s="2" t="str">
        <x:f>VLOOKUP(M884,'분류기준'!$A$5:$B$8,2,FALSE)</x:f>
        <x:v>간편심사보험</x:v>
      </x:c>
      <x:c r="O884" s="2" t="str">
        <x:v>중증질환 산정특례 보장 특약</x:v>
      </x:c>
      <x:c r="P884" s="2" t="str">
        <x:f>IF(O884="선택 안함","선택 안함",IF(O884="특약 없음","특약 없음","가입"))</x:f>
        <x:v>가입</x:v>
      </x:c>
      <x:c r="Q884" s="2" t="str">
        <x:f>IF(P884="가입","가입","미가입")</x:f>
        <x:v>가입</x:v>
      </x:c>
    </x:row>
    <x:row r="885" ht="23" customHeight="1">
      <x:c r="A885" s="2" t="str">
        <x:v>C0365</x:v>
      </x:c>
      <x:c r="B885" s="7" t="n">
        <x:v>59</x:v>
      </x:c>
      <x:c r="C885" s="2" t="str">
        <x:f>INT(B885/10)*10&amp;"대"</x:f>
        <x:v>50대</x:v>
      </x:c>
      <x:c r="D885" s="2" t="str">
        <x:v>여성</x:v>
      </x:c>
      <x:c r="E885" s="7" t="n">
        <x:v>5000</x:v>
      </x:c>
      <x:c r="F885" s="7" t="n">
        <x:v>1</x:v>
      </x:c>
      <x:c r="G885" s="2" t="str">
        <x:v>미혼</x:v>
      </x:c>
      <x:c r="H885" s="7" t="n">
        <x:v>0</x:v>
      </x:c>
      <x:c r="I885" s="2" t="str">
        <x:f>IF(H885&lt;3,H885&amp;"명","3명 이상")</x:f>
        <x:v>0명</x:v>
      </x:c>
      <x:c r="J885" s="2" t="str">
        <x:v>흡연</x:v>
      </x:c>
      <x:c r="K885" s="2" t="str">
        <x:v>고혈압</x:v>
      </x:c>
      <x:c r="L885" s="2" t="str">
        <x:v>없음</x:v>
      </x:c>
      <x:c r="M885" s="2" t="str">
        <x:v>수호천사 행복 연금보험</x:v>
      </x:c>
      <x:c r="N885" s="2" t="str">
        <x:f>VLOOKUP(M885,'분류기준'!$A$5:$B$8,2,FALSE)</x:f>
        <x:v>연금보험</x:v>
      </x:c>
      <x:c r="O885" s="2" t="str">
        <x:v>특약 없음</x:v>
      </x:c>
      <x:c r="P885" s="2" t="str">
        <x:f>IF(O885="선택 안함","선택 안함",IF(O885="특약 없음","특약 없음","가입"))</x:f>
        <x:v>특약 없음</x:v>
      </x:c>
      <x:c r="Q885" s="2" t="str">
        <x:f>IF(P885="가입","가입","미가입")</x:f>
        <x:v>미가입</x:v>
      </x:c>
    </x:row>
    <x:row r="886" ht="23" customHeight="1">
      <x:c r="A886" s="2" t="str">
        <x:v>C0415</x:v>
      </x:c>
      <x:c r="B886" s="7" t="n">
        <x:v>59</x:v>
      </x:c>
      <x:c r="C886" s="2" t="str">
        <x:f>INT(B886/10)*10&amp;"대"</x:f>
        <x:v>50대</x:v>
      </x:c>
      <x:c r="D886" s="2" t="str">
        <x:v>여성</x:v>
      </x:c>
      <x:c r="E886" s="7" t="n">
        <x:v>12000</x:v>
      </x:c>
      <x:c r="F886" s="7" t="n">
        <x:v>3</x:v>
      </x:c>
      <x:c r="G886" s="2" t="str">
        <x:v>기혼</x:v>
      </x:c>
      <x:c r="H886" s="7" t="n">
        <x:v>0</x:v>
      </x:c>
      <x:c r="I886" s="2" t="str">
        <x:f>IF(H886&lt;3,H886&amp;"명","3명 이상")</x:f>
        <x:v>0명</x:v>
      </x:c>
      <x:c r="J886" s="2" t="str">
        <x:v>비흡연</x:v>
      </x:c>
      <x:c r="K886" s="2" t="str">
        <x:v>당뇨</x:v>
      </x:c>
      <x:c r="L886" s="2" t="str">
        <x:v>없음</x:v>
      </x:c>
      <x:c r="M886" s="2" t="str">
        <x:v>수호천사 간편심사(유병자)보험</x:v>
      </x:c>
      <x:c r="N886" s="2" t="str">
        <x:f>VLOOKUP(M886,'분류기준'!$A$5:$B$8,2,FALSE)</x:f>
        <x:v>간편심사보험</x:v>
      </x:c>
      <x:c r="O886" s="2" t="str">
        <x:v>중증질환 산정특례 보장 특약</x:v>
      </x:c>
      <x:c r="P886" s="2" t="str">
        <x:f>IF(O886="선택 안함","선택 안함",IF(O886="특약 없음","특약 없음","가입"))</x:f>
        <x:v>가입</x:v>
      </x:c>
      <x:c r="Q886" s="2" t="str">
        <x:f>IF(P886="가입","가입","미가입")</x:f>
        <x:v>가입</x:v>
      </x:c>
    </x:row>
    <x:row r="887" ht="23" customHeight="1">
      <x:c r="A887" s="2" t="str">
        <x:v>C0435</x:v>
      </x:c>
      <x:c r="B887" s="7" t="n">
        <x:v>59</x:v>
      </x:c>
      <x:c r="C887" s="2" t="str">
        <x:f>INT(B887/10)*10&amp;"대"</x:f>
        <x:v>50대</x:v>
      </x:c>
      <x:c r="D887" s="2" t="str">
        <x:v>여성</x:v>
      </x:c>
      <x:c r="E887" s="7" t="n">
        <x:v>6000</x:v>
      </x:c>
      <x:c r="F887" s="7" t="n">
        <x:v>1</x:v>
      </x:c>
      <x:c r="G887" s="2" t="str">
        <x:v>미혼</x:v>
      </x:c>
      <x:c r="H887" s="7" t="n">
        <x:v>0</x:v>
      </x:c>
      <x:c r="I887" s="2" t="str">
        <x:f>IF(H887&lt;3,H887&amp;"명","3명 이상")</x:f>
        <x:v>0명</x:v>
      </x:c>
      <x:c r="J887" s="2" t="str">
        <x:v>비흡연</x:v>
      </x:c>
      <x:c r="K887" s="2" t="str">
        <x:v>당뇨</x:v>
      </x:c>
      <x:c r="L887" s="2" t="str">
        <x:v>암</x:v>
      </x:c>
      <x:c r="M887" s="2" t="str">
        <x:v>수호천사 암/건강보험</x:v>
      </x:c>
      <x:c r="N887" s="2" t="str">
        <x:f>VLOOKUP(M887,'분류기준'!$A$5:$B$8,2,FALSE)</x:f>
        <x:v>암/건강보험</x:v>
      </x:c>
      <x:c r="O887" s="2" t="str">
        <x:v>표적항암약물허가치료 특약</x:v>
      </x:c>
      <x:c r="P887" s="2" t="str">
        <x:f>IF(O887="선택 안함","선택 안함",IF(O887="특약 없음","특약 없음","가입"))</x:f>
        <x:v>가입</x:v>
      </x:c>
      <x:c r="Q887" s="2" t="str">
        <x:f>IF(P887="가입","가입","미가입")</x:f>
        <x:v>가입</x:v>
      </x:c>
    </x:row>
    <x:row r="888" ht="23" customHeight="1">
      <x:c r="A888" s="2" t="str">
        <x:v>C0498</x:v>
      </x:c>
      <x:c r="B888" s="7" t="n">
        <x:v>59</x:v>
      </x:c>
      <x:c r="C888" s="2" t="str">
        <x:f>INT(B888/10)*10&amp;"대"</x:f>
        <x:v>50대</x:v>
      </x:c>
      <x:c r="D888" s="2" t="str">
        <x:v>여성</x:v>
      </x:c>
      <x:c r="E888" s="7" t="n">
        <x:v>3000</x:v>
      </x:c>
      <x:c r="F888" s="7" t="n">
        <x:v>1</x:v>
      </x:c>
      <x:c r="G888" s="2" t="str">
        <x:v>미혼</x:v>
      </x:c>
      <x:c r="H888" s="7" t="n">
        <x:v>0</x:v>
      </x:c>
      <x:c r="I888" s="2" t="str">
        <x:f>IF(H888&lt;3,H888&amp;"명","3명 이상")</x:f>
        <x:v>0명</x:v>
      </x:c>
      <x:c r="J888" s="2" t="str">
        <x:v>비흡연</x:v>
      </x:c>
      <x:c r="K888" s="2" t="str">
        <x:v>고혈압</x:v>
      </x:c>
      <x:c r="L888" s="2" t="str">
        <x:v>심혈관</x:v>
      </x:c>
      <x:c r="M888" s="2" t="str">
        <x:v>수호천사 행복 연금보험</x:v>
      </x:c>
      <x:c r="N888" s="2" t="str">
        <x:f>VLOOKUP(M888,'분류기준'!$A$5:$B$8,2,FALSE)</x:f>
        <x:v>연금보험</x:v>
      </x:c>
      <x:c r="O888" s="2" t="str">
        <x:v>특약 없음</x:v>
      </x:c>
      <x:c r="P888" s="2" t="str">
        <x:f>IF(O888="선택 안함","선택 안함",IF(O888="특약 없음","특약 없음","가입"))</x:f>
        <x:v>특약 없음</x:v>
      </x:c>
      <x:c r="Q888" s="2" t="str">
        <x:f>IF(P888="가입","가입","미가입")</x:f>
        <x:v>미가입</x:v>
      </x:c>
    </x:row>
    <x:row r="889" ht="23" customHeight="1">
      <x:c r="A889" s="2" t="str">
        <x:v>C0597</x:v>
      </x:c>
      <x:c r="B889" s="7" t="n">
        <x:v>59</x:v>
      </x:c>
      <x:c r="C889" s="2" t="str">
        <x:f>INT(B889/10)*10&amp;"대"</x:f>
        <x:v>50대</x:v>
      </x:c>
      <x:c r="D889" s="2" t="str">
        <x:v>여성</x:v>
      </x:c>
      <x:c r="E889" s="7" t="n">
        <x:v>7500</x:v>
      </x:c>
      <x:c r="F889" s="7" t="n">
        <x:v>1</x:v>
      </x:c>
      <x:c r="G889" s="2" t="str">
        <x:v>기혼</x:v>
      </x:c>
      <x:c r="H889" s="7" t="n">
        <x:v>1</x:v>
      </x:c>
      <x:c r="I889" s="2" t="str">
        <x:f>IF(H889&lt;3,H889&amp;"명","3명 이상")</x:f>
        <x:v>1명</x:v>
      </x:c>
      <x:c r="J889" s="2" t="str">
        <x:v>비흡연</x:v>
      </x:c>
      <x:c r="K889" s="2" t="str">
        <x:v>고혈압</x:v>
      </x:c>
      <x:c r="L889" s="2" t="str">
        <x:v>없음</x:v>
      </x:c>
      <x:c r="M889" s="2" t="str">
        <x:v>수호천사 간편심사(유병자)보험</x:v>
      </x:c>
      <x:c r="N889" s="2" t="str">
        <x:f>VLOOKUP(M889,'분류기준'!$A$5:$B$8,2,FALSE)</x:f>
        <x:v>간편심사보험</x:v>
      </x:c>
      <x:c r="O889" s="2" t="str">
        <x:v>중증질환 산정특례 보장 특약</x:v>
      </x:c>
      <x:c r="P889" s="2" t="str">
        <x:f>IF(O889="선택 안함","선택 안함",IF(O889="특약 없음","특약 없음","가입"))</x:f>
        <x:v>가입</x:v>
      </x:c>
      <x:c r="Q889" s="2" t="str">
        <x:f>IF(P889="가입","가입","미가입")</x:f>
        <x:v>가입</x:v>
      </x:c>
    </x:row>
    <x:row r="890" ht="23" customHeight="1">
      <x:c r="A890" s="2" t="str">
        <x:v>C0747</x:v>
      </x:c>
      <x:c r="B890" s="7" t="n">
        <x:v>59</x:v>
      </x:c>
      <x:c r="C890" s="2" t="str">
        <x:f>INT(B890/10)*10&amp;"대"</x:f>
        <x:v>50대</x:v>
      </x:c>
      <x:c r="D890" s="2" t="str">
        <x:v>남성</x:v>
      </x:c>
      <x:c r="E890" s="7" t="n">
        <x:v>9000</x:v>
      </x:c>
      <x:c r="F890" s="7" t="n">
        <x:v>1</x:v>
      </x:c>
      <x:c r="G890" s="2" t="str">
        <x:v>기혼</x:v>
      </x:c>
      <x:c r="H890" s="7" t="n">
        <x:v>2</x:v>
      </x:c>
      <x:c r="I890" s="2" t="str">
        <x:f>IF(H890&lt;3,H890&amp;"명","3명 이상")</x:f>
        <x:v>2명</x:v>
      </x:c>
      <x:c r="J890" s="2" t="str">
        <x:v>비흡연</x:v>
      </x:c>
      <x:c r="K890" s="2" t="str">
        <x:v>고혈압</x:v>
      </x:c>
      <x:c r="L890" s="2" t="str">
        <x:v>없음</x:v>
      </x:c>
      <x:c r="M890" s="2" t="str">
        <x:v>수호천사 간편심사(유병자)보험</x:v>
      </x:c>
      <x:c r="N890" s="2" t="str">
        <x:f>VLOOKUP(M890,'분류기준'!$A$5:$B$8,2,FALSE)</x:f>
        <x:v>간편심사보험</x:v>
      </x:c>
      <x:c r="O890" s="2" t="str">
        <x:v>중증질환 산정특례 보장 특약</x:v>
      </x:c>
      <x:c r="P890" s="2" t="str">
        <x:f>IF(O890="선택 안함","선택 안함",IF(O890="특약 없음","특약 없음","가입"))</x:f>
        <x:v>가입</x:v>
      </x:c>
      <x:c r="Q890" s="2" t="str">
        <x:f>IF(P890="가입","가입","미가입")</x:f>
        <x:v>가입</x:v>
      </x:c>
    </x:row>
    <x:row r="891" ht="23" customHeight="1">
      <x:c r="A891" s="2" t="str">
        <x:v>C0812</x:v>
      </x:c>
      <x:c r="B891" s="7" t="n">
        <x:v>59</x:v>
      </x:c>
      <x:c r="C891" s="2" t="str">
        <x:f>INT(B891/10)*10&amp;"대"</x:f>
        <x:v>50대</x:v>
      </x:c>
      <x:c r="D891" s="2" t="str">
        <x:v>여성</x:v>
      </x:c>
      <x:c r="E891" s="7" t="n">
        <x:v>4000</x:v>
      </x:c>
      <x:c r="F891" s="7" t="n">
        <x:v>1</x:v>
      </x:c>
      <x:c r="G891" s="2" t="str">
        <x:v>기혼</x:v>
      </x:c>
      <x:c r="H891" s="7" t="n">
        <x:v>1</x:v>
      </x:c>
      <x:c r="I891" s="2" t="str">
        <x:f>IF(H891&lt;3,H891&amp;"명","3명 이상")</x:f>
        <x:v>1명</x:v>
      </x:c>
      <x:c r="J891" s="2" t="str">
        <x:v>비흡연</x:v>
      </x:c>
      <x:c r="K891" s="2" t="str">
        <x:v>고혈압</x:v>
      </x:c>
      <x:c r="L891" s="2" t="str">
        <x:v>없음</x:v>
      </x:c>
      <x:c r="M891" s="2" t="str">
        <x:v>수호천사 간편심사(유병자)보험</x:v>
      </x:c>
      <x:c r="N891" s="2" t="str">
        <x:f>VLOOKUP(M891,'분류기준'!$A$5:$B$8,2,FALSE)</x:f>
        <x:v>간편심사보험</x:v>
      </x:c>
      <x:c r="O891" s="2" t="str">
        <x:v>선택 안함</x:v>
      </x:c>
      <x:c r="P891" s="2" t="str">
        <x:f>IF(O891="선택 안함","선택 안함",IF(O891="특약 없음","특약 없음","가입"))</x:f>
        <x:v>선택 안함</x:v>
      </x:c>
      <x:c r="Q891" s="2" t="str">
        <x:f>IF(P891="가입","가입","미가입")</x:f>
        <x:v>미가입</x:v>
      </x:c>
    </x:row>
    <x:row r="892" ht="23" customHeight="1">
      <x:c r="A892" s="2" t="str">
        <x:v>C0899</x:v>
      </x:c>
      <x:c r="B892" s="7" t="n">
        <x:v>59</x:v>
      </x:c>
      <x:c r="C892" s="2" t="str">
        <x:f>INT(B892/10)*10&amp;"대"</x:f>
        <x:v>50대</x:v>
      </x:c>
      <x:c r="D892" s="2" t="str">
        <x:v>여성</x:v>
      </x:c>
      <x:c r="E892" s="7" t="n">
        <x:v>9000</x:v>
      </x:c>
      <x:c r="F892" s="7" t="n">
        <x:v>1</x:v>
      </x:c>
      <x:c r="G892" s="2" t="str">
        <x:v>기혼</x:v>
      </x:c>
      <x:c r="H892" s="7" t="n">
        <x:v>1</x:v>
      </x:c>
      <x:c r="I892" s="2" t="str">
        <x:f>IF(H892&lt;3,H892&amp;"명","3명 이상")</x:f>
        <x:v>1명</x:v>
      </x:c>
      <x:c r="J892" s="2" t="str">
        <x:v>비흡연</x:v>
      </x:c>
      <x:c r="K892" s="2" t="str">
        <x:v>고혈압</x:v>
      </x:c>
      <x:c r="L892" s="2" t="str">
        <x:v>암</x:v>
      </x:c>
      <x:c r="M892" s="2" t="str">
        <x:v>수호천사 간편심사(유병자)보험</x:v>
      </x:c>
      <x:c r="N892" s="2" t="str">
        <x:f>VLOOKUP(M892,'분류기준'!$A$5:$B$8,2,FALSE)</x:f>
        <x:v>간편심사보험</x:v>
      </x:c>
      <x:c r="O892" s="2" t="str">
        <x:v>중증질환 산정특례 보장 특약</x:v>
      </x:c>
      <x:c r="P892" s="2" t="str">
        <x:f>IF(O892="선택 안함","선택 안함",IF(O892="특약 없음","특약 없음","가입"))</x:f>
        <x:v>가입</x:v>
      </x:c>
      <x:c r="Q892" s="2" t="str">
        <x:f>IF(P892="가입","가입","미가입")</x:f>
        <x:v>가입</x:v>
      </x:c>
    </x:row>
    <x:row r="893" ht="23" customHeight="1">
      <x:c r="A893" s="2" t="str">
        <x:v>C0925</x:v>
      </x:c>
      <x:c r="B893" s="7" t="n">
        <x:v>59</x:v>
      </x:c>
      <x:c r="C893" s="2" t="str">
        <x:f>INT(B893/10)*10&amp;"대"</x:f>
        <x:v>50대</x:v>
      </x:c>
      <x:c r="D893" s="2" t="str">
        <x:v>여성</x:v>
      </x:c>
      <x:c r="E893" s="7" t="n">
        <x:v>7500</x:v>
      </x:c>
      <x:c r="F893" s="7" t="n">
        <x:v>1</x:v>
      </x:c>
      <x:c r="G893" s="2" t="str">
        <x:v>기혼</x:v>
      </x:c>
      <x:c r="H893" s="7" t="n">
        <x:v>1</x:v>
      </x:c>
      <x:c r="I893" s="2" t="str">
        <x:f>IF(H893&lt;3,H893&amp;"명","3명 이상")</x:f>
        <x:v>1명</x:v>
      </x:c>
      <x:c r="J893" s="2" t="str">
        <x:v>흡연</x:v>
      </x:c>
      <x:c r="K893" s="2" t="str">
        <x:v>당뇨</x:v>
      </x:c>
      <x:c r="L893" s="2" t="str">
        <x:v>없음</x:v>
      </x:c>
      <x:c r="M893" s="2" t="str">
        <x:v>수호천사 간편심사(유병자)보험</x:v>
      </x:c>
      <x:c r="N893" s="2" t="str">
        <x:f>VLOOKUP(M893,'분류기준'!$A$5:$B$8,2,FALSE)</x:f>
        <x:v>간편심사보험</x:v>
      </x:c>
      <x:c r="O893" s="2" t="str">
        <x:v>중증질환 산정특례 보장 특약</x:v>
      </x:c>
      <x:c r="P893" s="2" t="str">
        <x:f>IF(O893="선택 안함","선택 안함",IF(O893="특약 없음","특약 없음","가입"))</x:f>
        <x:v>가입</x:v>
      </x:c>
      <x:c r="Q893" s="2" t="str">
        <x:f>IF(P893="가입","가입","미가입")</x:f>
        <x:v>가입</x:v>
      </x:c>
    </x:row>
    <x:row r="894" ht="23" customHeight="1">
      <x:c r="A894" s="2" t="str">
        <x:v>C0975</x:v>
      </x:c>
      <x:c r="B894" s="7" t="n">
        <x:v>59</x:v>
      </x:c>
      <x:c r="C894" s="2" t="str">
        <x:f>INT(B894/10)*10&amp;"대"</x:f>
        <x:v>50대</x:v>
      </x:c>
      <x:c r="D894" s="2" t="str">
        <x:v>남성</x:v>
      </x:c>
      <x:c r="E894" s="7" t="n">
        <x:v>5000</x:v>
      </x:c>
      <x:c r="F894" s="7" t="n">
        <x:v>1</x:v>
      </x:c>
      <x:c r="G894" s="2" t="str">
        <x:v>기혼</x:v>
      </x:c>
      <x:c r="H894" s="7" t="n">
        <x:v>2</x:v>
      </x:c>
      <x:c r="I894" s="2" t="str">
        <x:f>IF(H894&lt;3,H894&amp;"명","3명 이상")</x:f>
        <x:v>2명</x:v>
      </x:c>
      <x:c r="J894" s="2" t="str">
        <x:v>흡연</x:v>
      </x:c>
      <x:c r="K894" s="2" t="str">
        <x:v>당뇨</x:v>
      </x:c>
      <x:c r="L894" s="2" t="str">
        <x:v>없음</x:v>
      </x:c>
      <x:c r="M894" s="2" t="str">
        <x:v>수호천사 암/건강보험</x:v>
      </x:c>
      <x:c r="N894" s="2" t="str">
        <x:f>VLOOKUP(M894,'분류기준'!$A$5:$B$8,2,FALSE)</x:f>
        <x:v>암/건강보험</x:v>
      </x:c>
      <x:c r="O894" s="2" t="str">
        <x:v>수술비 보장 특약</x:v>
      </x:c>
      <x:c r="P894" s="2" t="str">
        <x:f>IF(O894="선택 안함","선택 안함",IF(O894="특약 없음","특약 없음","가입"))</x:f>
        <x:v>가입</x:v>
      </x:c>
      <x:c r="Q894" s="2" t="str">
        <x:f>IF(P894="가입","가입","미가입")</x:f>
        <x:v>가입</x:v>
      </x:c>
    </x:row>
    <x:row r="895" ht="23" customHeight="1">
      <x:c r="A895" s="2" t="str">
        <x:v>C1000</x:v>
      </x:c>
      <x:c r="B895" s="7" t="n">
        <x:v>59</x:v>
      </x:c>
      <x:c r="C895" s="2" t="str">
        <x:f>INT(B895/10)*10&amp;"대"</x:f>
        <x:v>50대</x:v>
      </x:c>
      <x:c r="D895" s="2" t="str">
        <x:v>남성</x:v>
      </x:c>
      <x:c r="E895" s="7" t="n">
        <x:v>4000</x:v>
      </x:c>
      <x:c r="F895" s="7" t="n">
        <x:v>3</x:v>
      </x:c>
      <x:c r="G895" s="2" t="str">
        <x:v>기혼</x:v>
      </x:c>
      <x:c r="H895" s="7" t="n">
        <x:v>1</x:v>
      </x:c>
      <x:c r="I895" s="2" t="str">
        <x:f>IF(H895&lt;3,H895&amp;"명","3명 이상")</x:f>
        <x:v>1명</x:v>
      </x:c>
      <x:c r="J895" s="2" t="str">
        <x:v>비흡연</x:v>
      </x:c>
      <x:c r="K895" s="2" t="str">
        <x:v>고혈압</x:v>
      </x:c>
      <x:c r="L895" s="2" t="str">
        <x:v>없음</x:v>
      </x:c>
      <x:c r="M895" s="2" t="str">
        <x:v>수호천사 간편심사(유병자)보험</x:v>
      </x:c>
      <x:c r="N895" s="2" t="str">
        <x:f>VLOOKUP(M895,'분류기준'!$A$5:$B$8,2,FALSE)</x:f>
        <x:v>간편심사보험</x:v>
      </x:c>
      <x:c r="O895" s="2" t="str">
        <x:v>중증질환 산정특례 보장 특약</x:v>
      </x:c>
      <x:c r="P895" s="2" t="str">
        <x:f>IF(O895="선택 안함","선택 안함",IF(O895="특약 없음","특약 없음","가입"))</x:f>
        <x:v>가입</x:v>
      </x:c>
      <x:c r="Q895" s="2" t="str">
        <x:f>IF(P895="가입","가입","미가입")</x:f>
        <x:v>가입</x:v>
      </x:c>
    </x:row>
    <x:row r="896" ht="23" customHeight="1">
      <x:c r="A896" s="2" t="str">
        <x:v>C0086</x:v>
      </x:c>
      <x:c r="B896" s="7" t="n">
        <x:v>60</x:v>
      </x:c>
      <x:c r="C896" s="2" t="str">
        <x:f>INT(B896/10)*10&amp;"대"</x:f>
        <x:v>60대</x:v>
      </x:c>
      <x:c r="D896" s="2" t="str">
        <x:v>남성</x:v>
      </x:c>
      <x:c r="E896" s="7" t="n">
        <x:v>4000</x:v>
      </x:c>
      <x:c r="F896" s="7" t="n">
        <x:v>2</x:v>
      </x:c>
      <x:c r="G896" s="2" t="str">
        <x:v>기혼</x:v>
      </x:c>
      <x:c r="H896" s="7" t="n">
        <x:v>2</x:v>
      </x:c>
      <x:c r="I896" s="2" t="str">
        <x:f>IF(H896&lt;3,H896&amp;"명","3명 이상")</x:f>
        <x:v>2명</x:v>
      </x:c>
      <x:c r="J896" s="2" t="str">
        <x:v>비흡연</x:v>
      </x:c>
      <x:c r="K896" s="2" t="str">
        <x:v>없음</x:v>
      </x:c>
      <x:c r="L896" s="2" t="str">
        <x:v>없음</x:v>
      </x:c>
      <x:c r="M896" s="2" t="str">
        <x:v>수호천사 암/건강보험</x:v>
      </x:c>
      <x:c r="N896" s="2" t="str">
        <x:f>VLOOKUP(M896,'분류기준'!$A$5:$B$8,2,FALSE)</x:f>
        <x:v>암/건강보험</x:v>
      </x:c>
      <x:c r="O896" s="2" t="str">
        <x:v>선택 안함</x:v>
      </x:c>
      <x:c r="P896" s="2" t="str">
        <x:f>IF(O896="선택 안함","선택 안함",IF(O896="특약 없음","특약 없음","가입"))</x:f>
        <x:v>선택 안함</x:v>
      </x:c>
      <x:c r="Q896" s="2" t="str">
        <x:f>IF(P896="가입","가입","미가입")</x:f>
        <x:v>미가입</x:v>
      </x:c>
    </x:row>
    <x:row r="897" ht="23" customHeight="1">
      <x:c r="A897" s="2" t="str">
        <x:v>C0108</x:v>
      </x:c>
      <x:c r="B897" s="7" t="n">
        <x:v>60</x:v>
      </x:c>
      <x:c r="C897" s="2" t="str">
        <x:f>INT(B897/10)*10&amp;"대"</x:f>
        <x:v>60대</x:v>
      </x:c>
      <x:c r="D897" s="2" t="str">
        <x:v>남성</x:v>
      </x:c>
      <x:c r="E897" s="7" t="n">
        <x:v>3000</x:v>
      </x:c>
      <x:c r="F897" s="7" t="n">
        <x:v>2</x:v>
      </x:c>
      <x:c r="G897" s="2" t="str">
        <x:v>기혼</x:v>
      </x:c>
      <x:c r="H897" s="7" t="n">
        <x:v>1</x:v>
      </x:c>
      <x:c r="I897" s="2" t="str">
        <x:f>IF(H897&lt;3,H897&amp;"명","3명 이상")</x:f>
        <x:v>1명</x:v>
      </x:c>
      <x:c r="J897" s="2" t="str">
        <x:v>비흡연</x:v>
      </x:c>
      <x:c r="K897" s="2" t="str">
        <x:v>없음</x:v>
      </x:c>
      <x:c r="L897" s="2" t="str">
        <x:v>없음</x:v>
      </x:c>
      <x:c r="M897" s="2" t="str">
        <x:v>수호천사 암/건강보험</x:v>
      </x:c>
      <x:c r="N897" s="2" t="str">
        <x:f>VLOOKUP(M897,'분류기준'!$A$5:$B$8,2,FALSE)</x:f>
        <x:v>암/건강보험</x:v>
      </x:c>
      <x:c r="O897" s="2" t="str">
        <x:v>표적항암약물허가치료 특약</x:v>
      </x:c>
      <x:c r="P897" s="2" t="str">
        <x:f>IF(O897="선택 안함","선택 안함",IF(O897="특약 없음","특약 없음","가입"))</x:f>
        <x:v>가입</x:v>
      </x:c>
      <x:c r="Q897" s="2" t="str">
        <x:f>IF(P897="가입","가입","미가입")</x:f>
        <x:v>가입</x:v>
      </x:c>
    </x:row>
    <x:row r="898" ht="23" customHeight="1">
      <x:c r="A898" s="2" t="str">
        <x:v>C0178</x:v>
      </x:c>
      <x:c r="B898" s="7" t="n">
        <x:v>60</x:v>
      </x:c>
      <x:c r="C898" s="2" t="str">
        <x:f>INT(B898/10)*10&amp;"대"</x:f>
        <x:v>60대</x:v>
      </x:c>
      <x:c r="D898" s="2" t="str">
        <x:v>여성</x:v>
      </x:c>
      <x:c r="E898" s="7" t="n">
        <x:v>5000</x:v>
      </x:c>
      <x:c r="F898" s="7" t="n">
        <x:v>1</x:v>
      </x:c>
      <x:c r="G898" s="2" t="str">
        <x:v>기혼</x:v>
      </x:c>
      <x:c r="H898" s="7" t="n">
        <x:v>0</x:v>
      </x:c>
      <x:c r="I898" s="2" t="str">
        <x:f>IF(H898&lt;3,H898&amp;"명","3명 이상")</x:f>
        <x:v>0명</x:v>
      </x:c>
      <x:c r="J898" s="2" t="str">
        <x:v>비흡연</x:v>
      </x:c>
      <x:c r="K898" s="2" t="str">
        <x:v>없음</x:v>
      </x:c>
      <x:c r="L898" s="2" t="str">
        <x:v>암</x:v>
      </x:c>
      <x:c r="M898" s="2" t="str">
        <x:v>수호천사 행복 연금보험</x:v>
      </x:c>
      <x:c r="N898" s="2" t="str">
        <x:f>VLOOKUP(M898,'분류기준'!$A$5:$B$8,2,FALSE)</x:f>
        <x:v>연금보험</x:v>
      </x:c>
      <x:c r="O898" s="2" t="str">
        <x:v>특약 없음</x:v>
      </x:c>
      <x:c r="P898" s="2" t="str">
        <x:f>IF(O898="선택 안함","선택 안함",IF(O898="특약 없음","특약 없음","가입"))</x:f>
        <x:v>특약 없음</x:v>
      </x:c>
      <x:c r="Q898" s="2" t="str">
        <x:f>IF(P898="가입","가입","미가입")</x:f>
        <x:v>미가입</x:v>
      </x:c>
    </x:row>
    <x:row r="899" ht="23" customHeight="1">
      <x:c r="A899" s="2" t="str">
        <x:v>C0194</x:v>
      </x:c>
      <x:c r="B899" s="7" t="n">
        <x:v>60</x:v>
      </x:c>
      <x:c r="C899" s="2" t="str">
        <x:f>INT(B899/10)*10&amp;"대"</x:f>
        <x:v>60대</x:v>
      </x:c>
      <x:c r="D899" s="2" t="str">
        <x:v>남성</x:v>
      </x:c>
      <x:c r="E899" s="7" t="n">
        <x:v>4000</x:v>
      </x:c>
      <x:c r="F899" s="7" t="n">
        <x:v>1</x:v>
      </x:c>
      <x:c r="G899" s="2" t="str">
        <x:v>기혼</x:v>
      </x:c>
      <x:c r="H899" s="7" t="n">
        <x:v>1</x:v>
      </x:c>
      <x:c r="I899" s="2" t="str">
        <x:f>IF(H899&lt;3,H899&amp;"명","3명 이상")</x:f>
        <x:v>1명</x:v>
      </x:c>
      <x:c r="J899" s="2" t="str">
        <x:v>비흡연</x:v>
      </x:c>
      <x:c r="K899" s="2" t="str">
        <x:v>고혈압</x:v>
      </x:c>
      <x:c r="L899" s="2" t="str">
        <x:v>없음</x:v>
      </x:c>
      <x:c r="M899" s="2" t="str">
        <x:v>수호천사 간편심사(유병자)보험</x:v>
      </x:c>
      <x:c r="N899" s="2" t="str">
        <x:f>VLOOKUP(M899,'분류기준'!$A$5:$B$8,2,FALSE)</x:f>
        <x:v>간편심사보험</x:v>
      </x:c>
      <x:c r="O899" s="2" t="str">
        <x:v>선택 안함</x:v>
      </x:c>
      <x:c r="P899" s="2" t="str">
        <x:f>IF(O899="선택 안함","선택 안함",IF(O899="특약 없음","특약 없음","가입"))</x:f>
        <x:v>선택 안함</x:v>
      </x:c>
      <x:c r="Q899" s="2" t="str">
        <x:f>IF(P899="가입","가입","미가입")</x:f>
        <x:v>미가입</x:v>
      </x:c>
    </x:row>
    <x:row r="900" ht="23" customHeight="1">
      <x:c r="A900" s="2" t="str">
        <x:v>C0242</x:v>
      </x:c>
      <x:c r="B900" s="7" t="n">
        <x:v>60</x:v>
      </x:c>
      <x:c r="C900" s="2" t="str">
        <x:f>INT(B900/10)*10&amp;"대"</x:f>
        <x:v>60대</x:v>
      </x:c>
      <x:c r="D900" s="2" t="str">
        <x:v>남성</x:v>
      </x:c>
      <x:c r="E900" s="7" t="n">
        <x:v>9000</x:v>
      </x:c>
      <x:c r="F900" s="7" t="n">
        <x:v>1</x:v>
      </x:c>
      <x:c r="G900" s="2" t="str">
        <x:v>기혼</x:v>
      </x:c>
      <x:c r="H900" s="7" t="n">
        <x:v>0</x:v>
      </x:c>
      <x:c r="I900" s="2" t="str">
        <x:f>IF(H900&lt;3,H900&amp;"명","3명 이상")</x:f>
        <x:v>0명</x:v>
      </x:c>
      <x:c r="J900" s="2" t="str">
        <x:v>비흡연</x:v>
      </x:c>
      <x:c r="K900" s="2" t="str">
        <x:v>고혈압</x:v>
      </x:c>
      <x:c r="L900" s="2" t="str">
        <x:v>없음</x:v>
      </x:c>
      <x:c r="M900" s="2" t="str">
        <x:v>수호천사 행복 연금보험</x:v>
      </x:c>
      <x:c r="N900" s="2" t="str">
        <x:f>VLOOKUP(M900,'분류기준'!$A$5:$B$8,2,FALSE)</x:f>
        <x:v>연금보험</x:v>
      </x:c>
      <x:c r="O900" s="2" t="str">
        <x:v>특약 없음</x:v>
      </x:c>
      <x:c r="P900" s="2" t="str">
        <x:f>IF(O900="선택 안함","선택 안함",IF(O900="특약 없음","특약 없음","가입"))</x:f>
        <x:v>특약 없음</x:v>
      </x:c>
      <x:c r="Q900" s="2" t="str">
        <x:f>IF(P900="가입","가입","미가입")</x:f>
        <x:v>미가입</x:v>
      </x:c>
    </x:row>
    <x:row r="901" ht="23" customHeight="1">
      <x:c r="A901" s="2" t="str">
        <x:v>C0267</x:v>
      </x:c>
      <x:c r="B901" s="7" t="n">
        <x:v>60</x:v>
      </x:c>
      <x:c r="C901" s="2" t="str">
        <x:f>INT(B901/10)*10&amp;"대"</x:f>
        <x:v>60대</x:v>
      </x:c>
      <x:c r="D901" s="2" t="str">
        <x:v>남성</x:v>
      </x:c>
      <x:c r="E901" s="7" t="n">
        <x:v>3000</x:v>
      </x:c>
      <x:c r="F901" s="7" t="n">
        <x:v>1</x:v>
      </x:c>
      <x:c r="G901" s="2" t="str">
        <x:v>기혼</x:v>
      </x:c>
      <x:c r="H901" s="7" t="n">
        <x:v>1</x:v>
      </x:c>
      <x:c r="I901" s="2" t="str">
        <x:f>IF(H901&lt;3,H901&amp;"명","3명 이상")</x:f>
        <x:v>1명</x:v>
      </x:c>
      <x:c r="J901" s="2" t="str">
        <x:v>비흡연</x:v>
      </x:c>
      <x:c r="K901" s="2" t="str">
        <x:v>고혈압</x:v>
      </x:c>
      <x:c r="L901" s="2" t="str">
        <x:v>없음</x:v>
      </x:c>
      <x:c r="M901" s="2" t="str">
        <x:v>수호천사 간편심사(유병자)보험</x:v>
      </x:c>
      <x:c r="N901" s="2" t="str">
        <x:f>VLOOKUP(M901,'분류기준'!$A$5:$B$8,2,FALSE)</x:f>
        <x:v>간편심사보험</x:v>
      </x:c>
      <x:c r="O901" s="2" t="str">
        <x:v>중증질환 산정특례 보장 특약</x:v>
      </x:c>
      <x:c r="P901" s="2" t="str">
        <x:f>IF(O901="선택 안함","선택 안함",IF(O901="특약 없음","특약 없음","가입"))</x:f>
        <x:v>가입</x:v>
      </x:c>
      <x:c r="Q901" s="2" t="str">
        <x:f>IF(P901="가입","가입","미가입")</x:f>
        <x:v>가입</x:v>
      </x:c>
    </x:row>
    <x:row r="902" ht="23" customHeight="1">
      <x:c r="A902" s="2" t="str">
        <x:v>C0293</x:v>
      </x:c>
      <x:c r="B902" s="7" t="n">
        <x:v>60</x:v>
      </x:c>
      <x:c r="C902" s="2" t="str">
        <x:f>INT(B902/10)*10&amp;"대"</x:f>
        <x:v>60대</x:v>
      </x:c>
      <x:c r="D902" s="2" t="str">
        <x:v>여성</x:v>
      </x:c>
      <x:c r="E902" s="7" t="n">
        <x:v>6000</x:v>
      </x:c>
      <x:c r="F902" s="7" t="n">
        <x:v>1</x:v>
      </x:c>
      <x:c r="G902" s="2" t="str">
        <x:v>기혼</x:v>
      </x:c>
      <x:c r="H902" s="7" t="n">
        <x:v>1</x:v>
      </x:c>
      <x:c r="I902" s="2" t="str">
        <x:f>IF(H902&lt;3,H902&amp;"명","3명 이상")</x:f>
        <x:v>1명</x:v>
      </x:c>
      <x:c r="J902" s="2" t="str">
        <x:v>흡연</x:v>
      </x:c>
      <x:c r="K902" s="2" t="str">
        <x:v>없음</x:v>
      </x:c>
      <x:c r="L902" s="2" t="str">
        <x:v>없음</x:v>
      </x:c>
      <x:c r="M902" s="2" t="str">
        <x:v>수호천사 암/건강보험</x:v>
      </x:c>
      <x:c r="N902" s="2" t="str">
        <x:f>VLOOKUP(M902,'분류기준'!$A$5:$B$8,2,FALSE)</x:f>
        <x:v>암/건강보험</x:v>
      </x:c>
      <x:c r="O902" s="2" t="str">
        <x:v>선택 안함</x:v>
      </x:c>
      <x:c r="P902" s="2" t="str">
        <x:f>IF(O902="선택 안함","선택 안함",IF(O902="특약 없음","특약 없음","가입"))</x:f>
        <x:v>선택 안함</x:v>
      </x:c>
      <x:c r="Q902" s="2" t="str">
        <x:f>IF(P902="가입","가입","미가입")</x:f>
        <x:v>미가입</x:v>
      </x:c>
    </x:row>
    <x:row r="903" ht="23" customHeight="1">
      <x:c r="A903" s="2" t="str">
        <x:v>C0335</x:v>
      </x:c>
      <x:c r="B903" s="7" t="n">
        <x:v>60</x:v>
      </x:c>
      <x:c r="C903" s="2" t="str">
        <x:f>INT(B903/10)*10&amp;"대"</x:f>
        <x:v>60대</x:v>
      </x:c>
      <x:c r="D903" s="2" t="str">
        <x:v>남성</x:v>
      </x:c>
      <x:c r="E903" s="7" t="n">
        <x:v>5000</x:v>
      </x:c>
      <x:c r="F903" s="7" t="n">
        <x:v>1</x:v>
      </x:c>
      <x:c r="G903" s="2" t="str">
        <x:v>기혼</x:v>
      </x:c>
      <x:c r="H903" s="7" t="n">
        <x:v>1</x:v>
      </x:c>
      <x:c r="I903" s="2" t="str">
        <x:f>IF(H903&lt;3,H903&amp;"명","3명 이상")</x:f>
        <x:v>1명</x:v>
      </x:c>
      <x:c r="J903" s="2" t="str">
        <x:v>비흡연</x:v>
      </x:c>
      <x:c r="K903" s="2" t="str">
        <x:v>고혈압</x:v>
      </x:c>
      <x:c r="L903" s="2" t="str">
        <x:v>심혈관</x:v>
      </x:c>
      <x:c r="M903" s="2" t="str">
        <x:v>수호천사 간편심사(유병자)보험</x:v>
      </x:c>
      <x:c r="N903" s="2" t="str">
        <x:f>VLOOKUP(M903,'분류기준'!$A$5:$B$8,2,FALSE)</x:f>
        <x:v>간편심사보험</x:v>
      </x:c>
      <x:c r="O903" s="2" t="str">
        <x:v>중증질환 산정특례 보장 특약</x:v>
      </x:c>
      <x:c r="P903" s="2" t="str">
        <x:f>IF(O903="선택 안함","선택 안함",IF(O903="특약 없음","특약 없음","가입"))</x:f>
        <x:v>가입</x:v>
      </x:c>
      <x:c r="Q903" s="2" t="str">
        <x:f>IF(P903="가입","가입","미가입")</x:f>
        <x:v>가입</x:v>
      </x:c>
    </x:row>
    <x:row r="904" ht="23" customHeight="1">
      <x:c r="A904" s="2" t="str">
        <x:v>C0518</x:v>
      </x:c>
      <x:c r="B904" s="7" t="n">
        <x:v>60</x:v>
      </x:c>
      <x:c r="C904" s="2" t="str">
        <x:f>INT(B904/10)*10&amp;"대"</x:f>
        <x:v>60대</x:v>
      </x:c>
      <x:c r="D904" s="2" t="str">
        <x:v>남성</x:v>
      </x:c>
      <x:c r="E904" s="7" t="n">
        <x:v>4000</x:v>
      </x:c>
      <x:c r="F904" s="7" t="n">
        <x:v>2</x:v>
      </x:c>
      <x:c r="G904" s="2" t="str">
        <x:v>기혼</x:v>
      </x:c>
      <x:c r="H904" s="7" t="n">
        <x:v>1</x:v>
      </x:c>
      <x:c r="I904" s="2" t="str">
        <x:f>IF(H904&lt;3,H904&amp;"명","3명 이상")</x:f>
        <x:v>1명</x:v>
      </x:c>
      <x:c r="J904" s="2" t="str">
        <x:v>비흡연</x:v>
      </x:c>
      <x:c r="K904" s="2" t="str">
        <x:v>고혈압</x:v>
      </x:c>
      <x:c r="L904" s="2" t="str">
        <x:v>암</x:v>
      </x:c>
      <x:c r="M904" s="2" t="str">
        <x:v>수호천사 간편심사(유병자)보험</x:v>
      </x:c>
      <x:c r="N904" s="2" t="str">
        <x:f>VLOOKUP(M904,'분류기준'!$A$5:$B$8,2,FALSE)</x:f>
        <x:v>간편심사보험</x:v>
      </x:c>
      <x:c r="O904" s="2" t="str">
        <x:v>중증질환 산정특례 보장 특약</x:v>
      </x:c>
      <x:c r="P904" s="2" t="str">
        <x:f>IF(O904="선택 안함","선택 안함",IF(O904="특약 없음","특약 없음","가입"))</x:f>
        <x:v>가입</x:v>
      </x:c>
      <x:c r="Q904" s="2" t="str">
        <x:f>IF(P904="가입","가입","미가입")</x:f>
        <x:v>가입</x:v>
      </x:c>
    </x:row>
    <x:row r="905" ht="23" customHeight="1">
      <x:c r="A905" s="2" t="str">
        <x:v>C0547</x:v>
      </x:c>
      <x:c r="B905" s="7" t="n">
        <x:v>60</x:v>
      </x:c>
      <x:c r="C905" s="2" t="str">
        <x:f>INT(B905/10)*10&amp;"대"</x:f>
        <x:v>60대</x:v>
      </x:c>
      <x:c r="D905" s="2" t="str">
        <x:v>여성</x:v>
      </x:c>
      <x:c r="E905" s="7" t="n">
        <x:v>3000</x:v>
      </x:c>
      <x:c r="F905" s="7" t="n">
        <x:v>2</x:v>
      </x:c>
      <x:c r="G905" s="2" t="str">
        <x:v>기혼</x:v>
      </x:c>
      <x:c r="H905" s="7" t="n">
        <x:v>2</x:v>
      </x:c>
      <x:c r="I905" s="2" t="str">
        <x:f>IF(H905&lt;3,H905&amp;"명","3명 이상")</x:f>
        <x:v>2명</x:v>
      </x:c>
      <x:c r="J905" s="2" t="str">
        <x:v>비흡연</x:v>
      </x:c>
      <x:c r="K905" s="2" t="str">
        <x:v>당뇨</x:v>
      </x:c>
      <x:c r="L905" s="2" t="str">
        <x:v>없음</x:v>
      </x:c>
      <x:c r="M905" s="2" t="str">
        <x:v>수호천사 간편심사(유병자)보험</x:v>
      </x:c>
      <x:c r="N905" s="2" t="str">
        <x:f>VLOOKUP(M905,'분류기준'!$A$5:$B$8,2,FALSE)</x:f>
        <x:v>간편심사보험</x:v>
      </x:c>
      <x:c r="O905" s="2" t="str">
        <x:v>선택 안함</x:v>
      </x:c>
      <x:c r="P905" s="2" t="str">
        <x:f>IF(O905="선택 안함","선택 안함",IF(O905="특약 없음","특약 없음","가입"))</x:f>
        <x:v>선택 안함</x:v>
      </x:c>
      <x:c r="Q905" s="2" t="str">
        <x:f>IF(P905="가입","가입","미가입")</x:f>
        <x:v>미가입</x:v>
      </x:c>
    </x:row>
    <x:row r="906" ht="23" customHeight="1">
      <x:c r="A906" s="2" t="str">
        <x:v>C0557</x:v>
      </x:c>
      <x:c r="B906" s="7" t="n">
        <x:v>60</x:v>
      </x:c>
      <x:c r="C906" s="2" t="str">
        <x:f>INT(B906/10)*10&amp;"대"</x:f>
        <x:v>60대</x:v>
      </x:c>
      <x:c r="D906" s="2" t="str">
        <x:v>남성</x:v>
      </x:c>
      <x:c r="E906" s="7" t="n">
        <x:v>7500</x:v>
      </x:c>
      <x:c r="F906" s="7" t="n">
        <x:v>1</x:v>
      </x:c>
      <x:c r="G906" s="2" t="str">
        <x:v>기혼</x:v>
      </x:c>
      <x:c r="H906" s="7" t="n">
        <x:v>1</x:v>
      </x:c>
      <x:c r="I906" s="2" t="str">
        <x:f>IF(H906&lt;3,H906&amp;"명","3명 이상")</x:f>
        <x:v>1명</x:v>
      </x:c>
      <x:c r="J906" s="2" t="str">
        <x:v>비흡연</x:v>
      </x:c>
      <x:c r="K906" s="2" t="str">
        <x:v>없음</x:v>
      </x:c>
      <x:c r="L906" s="2" t="str">
        <x:v>없음</x:v>
      </x:c>
      <x:c r="M906" s="2" t="str">
        <x:v>수호천사 암/건강보험</x:v>
      </x:c>
      <x:c r="N906" s="2" t="str">
        <x:f>VLOOKUP(M906,'분류기준'!$A$5:$B$8,2,FALSE)</x:f>
        <x:v>암/건강보험</x:v>
      </x:c>
      <x:c r="O906" s="2" t="str">
        <x:v>수술비 보장 특약</x:v>
      </x:c>
      <x:c r="P906" s="2" t="str">
        <x:f>IF(O906="선택 안함","선택 안함",IF(O906="특약 없음","특약 없음","가입"))</x:f>
        <x:v>가입</x:v>
      </x:c>
      <x:c r="Q906" s="2" t="str">
        <x:f>IF(P906="가입","가입","미가입")</x:f>
        <x:v>가입</x:v>
      </x:c>
    </x:row>
    <x:row r="907" ht="23" customHeight="1">
      <x:c r="A907" s="2" t="str">
        <x:v>C0634</x:v>
      </x:c>
      <x:c r="B907" s="7" t="n">
        <x:v>60</x:v>
      </x:c>
      <x:c r="C907" s="2" t="str">
        <x:f>INT(B907/10)*10&amp;"대"</x:f>
        <x:v>60대</x:v>
      </x:c>
      <x:c r="D907" s="2" t="str">
        <x:v>여성</x:v>
      </x:c>
      <x:c r="E907" s="7" t="n">
        <x:v>5000</x:v>
      </x:c>
      <x:c r="F907" s="7" t="n">
        <x:v>1</x:v>
      </x:c>
      <x:c r="G907" s="2" t="str">
        <x:v>기혼</x:v>
      </x:c>
      <x:c r="H907" s="7" t="n">
        <x:v>2</x:v>
      </x:c>
      <x:c r="I907" s="2" t="str">
        <x:f>IF(H907&lt;3,H907&amp;"명","3명 이상")</x:f>
        <x:v>2명</x:v>
      </x:c>
      <x:c r="J907" s="2" t="str">
        <x:v>비흡연</x:v>
      </x:c>
      <x:c r="K907" s="2" t="str">
        <x:v>없음</x:v>
      </x:c>
      <x:c r="L907" s="2" t="str">
        <x:v>없음</x:v>
      </x:c>
      <x:c r="M907" s="2" t="str">
        <x:v>수호천사 우리가족 종신보험</x:v>
      </x:c>
      <x:c r="N907" s="2" t="str">
        <x:f>VLOOKUP(M907,'분류기준'!$A$5:$B$8,2,FALSE)</x:f>
        <x:v>종신보험</x:v>
      </x:c>
      <x:c r="O907" s="2" t="str">
        <x:v>선택 안함</x:v>
      </x:c>
      <x:c r="P907" s="2" t="str">
        <x:f>IF(O907="선택 안함","선택 안함",IF(O907="특약 없음","특약 없음","가입"))</x:f>
        <x:v>선택 안함</x:v>
      </x:c>
      <x:c r="Q907" s="2" t="str">
        <x:f>IF(P907="가입","가입","미가입")</x:f>
        <x:v>미가입</x:v>
      </x:c>
    </x:row>
    <x:row r="908" ht="23" customHeight="1">
      <x:c r="A908" s="2" t="str">
        <x:v>C0658</x:v>
      </x:c>
      <x:c r="B908" s="7" t="n">
        <x:v>60</x:v>
      </x:c>
      <x:c r="C908" s="2" t="str">
        <x:f>INT(B908/10)*10&amp;"대"</x:f>
        <x:v>60대</x:v>
      </x:c>
      <x:c r="D908" s="2" t="str">
        <x:v>여성</x:v>
      </x:c>
      <x:c r="E908" s="7" t="n">
        <x:v>5000</x:v>
      </x:c>
      <x:c r="F908" s="7" t="n">
        <x:v>1</x:v>
      </x:c>
      <x:c r="G908" s="2" t="str">
        <x:v>기혼</x:v>
      </x:c>
      <x:c r="H908" s="7" t="n">
        <x:v>1</x:v>
      </x:c>
      <x:c r="I908" s="2" t="str">
        <x:f>IF(H908&lt;3,H908&amp;"명","3명 이상")</x:f>
        <x:v>1명</x:v>
      </x:c>
      <x:c r="J908" s="2" t="str">
        <x:v>비흡연</x:v>
      </x:c>
      <x:c r="K908" s="2" t="str">
        <x:v>없음</x:v>
      </x:c>
      <x:c r="L908" s="2" t="str">
        <x:v>심혈관</x:v>
      </x:c>
      <x:c r="M908" s="2" t="str">
        <x:v>수호천사 암/건강보험</x:v>
      </x:c>
      <x:c r="N908" s="2" t="str">
        <x:f>VLOOKUP(M908,'분류기준'!$A$5:$B$8,2,FALSE)</x:f>
        <x:v>암/건강보험</x:v>
      </x:c>
      <x:c r="O908" s="2" t="str">
        <x:v>표적항암약물허가치료 특약</x:v>
      </x:c>
      <x:c r="P908" s="2" t="str">
        <x:f>IF(O908="선택 안함","선택 안함",IF(O908="특약 없음","특약 없음","가입"))</x:f>
        <x:v>가입</x:v>
      </x:c>
      <x:c r="Q908" s="2" t="str">
        <x:f>IF(P908="가입","가입","미가입")</x:f>
        <x:v>가입</x:v>
      </x:c>
    </x:row>
    <x:row r="909" ht="23" customHeight="1">
      <x:c r="A909" s="2" t="str">
        <x:v>C0684</x:v>
      </x:c>
      <x:c r="B909" s="7" t="n">
        <x:v>60</x:v>
      </x:c>
      <x:c r="C909" s="2" t="str">
        <x:f>INT(B909/10)*10&amp;"대"</x:f>
        <x:v>60대</x:v>
      </x:c>
      <x:c r="D909" s="2" t="str">
        <x:v>여성</x:v>
      </x:c>
      <x:c r="E909" s="7" t="n">
        <x:v>7500</x:v>
      </x:c>
      <x:c r="F909" s="7" t="n">
        <x:v>1</x:v>
      </x:c>
      <x:c r="G909" s="2" t="str">
        <x:v>기혼</x:v>
      </x:c>
      <x:c r="H909" s="7" t="n">
        <x:v>2</x:v>
      </x:c>
      <x:c r="I909" s="2" t="str">
        <x:f>IF(H909&lt;3,H909&amp;"명","3명 이상")</x:f>
        <x:v>2명</x:v>
      </x:c>
      <x:c r="J909" s="2" t="str">
        <x:v>흡연</x:v>
      </x:c>
      <x:c r="K909" s="2" t="str">
        <x:v>없음</x:v>
      </x:c>
      <x:c r="L909" s="2" t="str">
        <x:v>없음</x:v>
      </x:c>
      <x:c r="M909" s="2" t="str">
        <x:v>수호천사 암/건강보험</x:v>
      </x:c>
      <x:c r="N909" s="2" t="str">
        <x:f>VLOOKUP(M909,'분류기준'!$A$5:$B$8,2,FALSE)</x:f>
        <x:v>암/건강보험</x:v>
      </x:c>
      <x:c r="O909" s="2" t="str">
        <x:v>선택 안함</x:v>
      </x:c>
      <x:c r="P909" s="2" t="str">
        <x:f>IF(O909="선택 안함","선택 안함",IF(O909="특약 없음","특약 없음","가입"))</x:f>
        <x:v>선택 안함</x:v>
      </x:c>
      <x:c r="Q909" s="2" t="str">
        <x:f>IF(P909="가입","가입","미가입")</x:f>
        <x:v>미가입</x:v>
      </x:c>
    </x:row>
    <x:row r="910" ht="23" customHeight="1">
      <x:c r="A910" s="2" t="str">
        <x:v>C0719</x:v>
      </x:c>
      <x:c r="B910" s="7" t="n">
        <x:v>60</x:v>
      </x:c>
      <x:c r="C910" s="2" t="str">
        <x:f>INT(B910/10)*10&amp;"대"</x:f>
        <x:v>60대</x:v>
      </x:c>
      <x:c r="D910" s="2" t="str">
        <x:v>여성</x:v>
      </x:c>
      <x:c r="E910" s="7" t="n">
        <x:v>3000</x:v>
      </x:c>
      <x:c r="F910" s="7" t="n">
        <x:v>1</x:v>
      </x:c>
      <x:c r="G910" s="2" t="str">
        <x:v>미혼</x:v>
      </x:c>
      <x:c r="H910" s="7" t="n">
        <x:v>0</x:v>
      </x:c>
      <x:c r="I910" s="2" t="str">
        <x:f>IF(H910&lt;3,H910&amp;"명","3명 이상")</x:f>
        <x:v>0명</x:v>
      </x:c>
      <x:c r="J910" s="2" t="str">
        <x:v>비흡연</x:v>
      </x:c>
      <x:c r="K910" s="2" t="str">
        <x:v>당뇨</x:v>
      </x:c>
      <x:c r="L910" s="2" t="str">
        <x:v>없음</x:v>
      </x:c>
      <x:c r="M910" s="2" t="str">
        <x:v>수호천사 간편심사(유병자)보험</x:v>
      </x:c>
      <x:c r="N910" s="2" t="str">
        <x:f>VLOOKUP(M910,'분류기준'!$A$5:$B$8,2,FALSE)</x:f>
        <x:v>간편심사보험</x:v>
      </x:c>
      <x:c r="O910" s="2" t="str">
        <x:v>선택 안함</x:v>
      </x:c>
      <x:c r="P910" s="2" t="str">
        <x:f>IF(O910="선택 안함","선택 안함",IF(O910="특약 없음","특약 없음","가입"))</x:f>
        <x:v>선택 안함</x:v>
      </x:c>
      <x:c r="Q910" s="2" t="str">
        <x:f>IF(P910="가입","가입","미가입")</x:f>
        <x:v>미가입</x:v>
      </x:c>
    </x:row>
    <x:row r="911" ht="23" customHeight="1">
      <x:c r="A911" s="2" t="str">
        <x:v>C0832</x:v>
      </x:c>
      <x:c r="B911" s="7" t="n">
        <x:v>60</x:v>
      </x:c>
      <x:c r="C911" s="2" t="str">
        <x:f>INT(B911/10)*10&amp;"대"</x:f>
        <x:v>60대</x:v>
      </x:c>
      <x:c r="D911" s="2" t="str">
        <x:v>여성</x:v>
      </x:c>
      <x:c r="E911" s="7" t="n">
        <x:v>3000</x:v>
      </x:c>
      <x:c r="F911" s="7" t="n">
        <x:v>1</x:v>
      </x:c>
      <x:c r="G911" s="2" t="str">
        <x:v>기혼</x:v>
      </x:c>
      <x:c r="H911" s="7" t="n">
        <x:v>1</x:v>
      </x:c>
      <x:c r="I911" s="2" t="str">
        <x:f>IF(H911&lt;3,H911&amp;"명","3명 이상")</x:f>
        <x:v>1명</x:v>
      </x:c>
      <x:c r="J911" s="2" t="str">
        <x:v>비흡연</x:v>
      </x:c>
      <x:c r="K911" s="2" t="str">
        <x:v>당뇨</x:v>
      </x:c>
      <x:c r="L911" s="2" t="str">
        <x:v>없음</x:v>
      </x:c>
      <x:c r="M911" s="2" t="str">
        <x:v>수호천사 간편심사(유병자)보험</x:v>
      </x:c>
      <x:c r="N911" s="2" t="str">
        <x:f>VLOOKUP(M911,'분류기준'!$A$5:$B$8,2,FALSE)</x:f>
        <x:v>간편심사보험</x:v>
      </x:c>
      <x:c r="O911" s="2" t="str">
        <x:v>선택 안함</x:v>
      </x:c>
      <x:c r="P911" s="2" t="str">
        <x:f>IF(O911="선택 안함","선택 안함",IF(O911="특약 없음","특약 없음","가입"))</x:f>
        <x:v>선택 안함</x:v>
      </x:c>
      <x:c r="Q911" s="2" t="str">
        <x:f>IF(P911="가입","가입","미가입")</x:f>
        <x:v>미가입</x:v>
      </x:c>
    </x:row>
    <x:row r="912" ht="23" customHeight="1">
      <x:c r="A912" s="2" t="str">
        <x:v>C0892</x:v>
      </x:c>
      <x:c r="B912" s="7" t="n">
        <x:v>60</x:v>
      </x:c>
      <x:c r="C912" s="2" t="str">
        <x:f>INT(B912/10)*10&amp;"대"</x:f>
        <x:v>60대</x:v>
      </x:c>
      <x:c r="D912" s="2" t="str">
        <x:v>남성</x:v>
      </x:c>
      <x:c r="E912" s="7" t="n">
        <x:v>9000</x:v>
      </x:c>
      <x:c r="F912" s="7" t="n">
        <x:v>2</x:v>
      </x:c>
      <x:c r="G912" s="2" t="str">
        <x:v>기혼</x:v>
      </x:c>
      <x:c r="H912" s="7" t="n">
        <x:v>2</x:v>
      </x:c>
      <x:c r="I912" s="2" t="str">
        <x:f>IF(H912&lt;3,H912&amp;"명","3명 이상")</x:f>
        <x:v>2명</x:v>
      </x:c>
      <x:c r="J912" s="2" t="str">
        <x:v>비흡연</x:v>
      </x:c>
      <x:c r="K912" s="2" t="str">
        <x:v>없음</x:v>
      </x:c>
      <x:c r="L912" s="2" t="str">
        <x:v>암</x:v>
      </x:c>
      <x:c r="M912" s="2" t="str">
        <x:v>수호천사 암/건강보험</x:v>
      </x:c>
      <x:c r="N912" s="2" t="str">
        <x:f>VLOOKUP(M912,'분류기준'!$A$5:$B$8,2,FALSE)</x:f>
        <x:v>암/건강보험</x:v>
      </x:c>
      <x:c r="O912" s="2" t="str">
        <x:v>표적항암약물허가치료 특약</x:v>
      </x:c>
      <x:c r="P912" s="2" t="str">
        <x:f>IF(O912="선택 안함","선택 안함",IF(O912="특약 없음","특약 없음","가입"))</x:f>
        <x:v>가입</x:v>
      </x:c>
      <x:c r="Q912" s="2" t="str">
        <x:f>IF(P912="가입","가입","미가입")</x:f>
        <x:v>가입</x:v>
      </x:c>
    </x:row>
    <x:row r="913" ht="23" customHeight="1">
      <x:c r="A913" s="2" t="str">
        <x:v>C0903</x:v>
      </x:c>
      <x:c r="B913" s="7" t="n">
        <x:v>60</x:v>
      </x:c>
      <x:c r="C913" s="2" t="str">
        <x:f>INT(B913/10)*10&amp;"대"</x:f>
        <x:v>60대</x:v>
      </x:c>
      <x:c r="D913" s="2" t="str">
        <x:v>여성</x:v>
      </x:c>
      <x:c r="E913" s="7" t="n">
        <x:v>6000</x:v>
      </x:c>
      <x:c r="F913" s="7" t="n">
        <x:v>2</x:v>
      </x:c>
      <x:c r="G913" s="2" t="str">
        <x:v>미혼</x:v>
      </x:c>
      <x:c r="H913" s="7" t="n">
        <x:v>0</x:v>
      </x:c>
      <x:c r="I913" s="2" t="str">
        <x:f>IF(H913&lt;3,H913&amp;"명","3명 이상")</x:f>
        <x:v>0명</x:v>
      </x:c>
      <x:c r="J913" s="2" t="str">
        <x:v>비흡연</x:v>
      </x:c>
      <x:c r="K913" s="2" t="str">
        <x:v>당뇨</x:v>
      </x:c>
      <x:c r="L913" s="2" t="str">
        <x:v>없음</x:v>
      </x:c>
      <x:c r="M913" s="2" t="str">
        <x:v>수호천사 간편심사(유병자)보험</x:v>
      </x:c>
      <x:c r="N913" s="2" t="str">
        <x:f>VLOOKUP(M913,'분류기준'!$A$5:$B$8,2,FALSE)</x:f>
        <x:v>간편심사보험</x:v>
      </x:c>
      <x:c r="O913" s="2" t="str">
        <x:v>중증질환 산정특례 보장 특약</x:v>
      </x:c>
      <x:c r="P913" s="2" t="str">
        <x:f>IF(O913="선택 안함","선택 안함",IF(O913="특약 없음","특약 없음","가입"))</x:f>
        <x:v>가입</x:v>
      </x:c>
      <x:c r="Q913" s="2" t="str">
        <x:f>IF(P913="가입","가입","미가입")</x:f>
        <x:v>가입</x:v>
      </x:c>
    </x:row>
    <x:row r="914" ht="23" customHeight="1">
      <x:c r="A914" s="2" t="str">
        <x:v>C0031</x:v>
      </x:c>
      <x:c r="B914" s="7" t="n">
        <x:v>61</x:v>
      </x:c>
      <x:c r="C914" s="2" t="str">
        <x:f>INT(B914/10)*10&amp;"대"</x:f>
        <x:v>60대</x:v>
      </x:c>
      <x:c r="D914" s="2" t="str">
        <x:v>여성</x:v>
      </x:c>
      <x:c r="E914" s="7" t="n">
        <x:v>5000</x:v>
      </x:c>
      <x:c r="F914" s="7" t="n">
        <x:v>3</x:v>
      </x:c>
      <x:c r="G914" s="2" t="str">
        <x:v>기혼</x:v>
      </x:c>
      <x:c r="H914" s="7" t="n">
        <x:v>0</x:v>
      </x:c>
      <x:c r="I914" s="2" t="str">
        <x:f>IF(H914&lt;3,H914&amp;"명","3명 이상")</x:f>
        <x:v>0명</x:v>
      </x:c>
      <x:c r="J914" s="2" t="str">
        <x:v>비흡연</x:v>
      </x:c>
      <x:c r="K914" s="2" t="str">
        <x:v>없음</x:v>
      </x:c>
      <x:c r="L914" s="2" t="str">
        <x:v>암</x:v>
      </x:c>
      <x:c r="M914" s="2" t="str">
        <x:v>수호천사 암/건강보험</x:v>
      </x:c>
      <x:c r="N914" s="2" t="str">
        <x:f>VLOOKUP(M914,'분류기준'!$A$5:$B$8,2,FALSE)</x:f>
        <x:v>암/건강보험</x:v>
      </x:c>
      <x:c r="O914" s="2" t="str">
        <x:v>표적항암약물허가치료 특약</x:v>
      </x:c>
      <x:c r="P914" s="2" t="str">
        <x:f>IF(O914="선택 안함","선택 안함",IF(O914="특약 없음","특약 없음","가입"))</x:f>
        <x:v>가입</x:v>
      </x:c>
      <x:c r="Q914" s="2" t="str">
        <x:f>IF(P914="가입","가입","미가입")</x:f>
        <x:v>가입</x:v>
      </x:c>
    </x:row>
    <x:row r="915" ht="23" customHeight="1">
      <x:c r="A915" s="2" t="str">
        <x:v>C0062</x:v>
      </x:c>
      <x:c r="B915" s="7" t="n">
        <x:v>61</x:v>
      </x:c>
      <x:c r="C915" s="2" t="str">
        <x:f>INT(B915/10)*10&amp;"대"</x:f>
        <x:v>60대</x:v>
      </x:c>
      <x:c r="D915" s="2" t="str">
        <x:v>여성</x:v>
      </x:c>
      <x:c r="E915" s="7" t="n">
        <x:v>4000</x:v>
      </x:c>
      <x:c r="F915" s="7" t="n">
        <x:v>1</x:v>
      </x:c>
      <x:c r="G915" s="2" t="str">
        <x:v>미혼</x:v>
      </x:c>
      <x:c r="H915" s="7" t="n">
        <x:v>0</x:v>
      </x:c>
      <x:c r="I915" s="2" t="str">
        <x:f>IF(H915&lt;3,H915&amp;"명","3명 이상")</x:f>
        <x:v>0명</x:v>
      </x:c>
      <x:c r="J915" s="2" t="str">
        <x:v>비흡연</x:v>
      </x:c>
      <x:c r="K915" s="2" t="str">
        <x:v>없음</x:v>
      </x:c>
      <x:c r="L915" s="2" t="str">
        <x:v>없음</x:v>
      </x:c>
      <x:c r="M915" s="2" t="str">
        <x:v>수호천사 암/건강보험</x:v>
      </x:c>
      <x:c r="N915" s="2" t="str">
        <x:f>VLOOKUP(M915,'분류기준'!$A$5:$B$8,2,FALSE)</x:f>
        <x:v>암/건강보험</x:v>
      </x:c>
      <x:c r="O915" s="2" t="str">
        <x:v>수술비 보장 특약</x:v>
      </x:c>
      <x:c r="P915" s="2" t="str">
        <x:f>IF(O915="선택 안함","선택 안함",IF(O915="특약 없음","특약 없음","가입"))</x:f>
        <x:v>가입</x:v>
      </x:c>
      <x:c r="Q915" s="2" t="str">
        <x:f>IF(P915="가입","가입","미가입")</x:f>
        <x:v>가입</x:v>
      </x:c>
    </x:row>
    <x:row r="916" ht="23" customHeight="1">
      <x:c r="A916" s="2" t="str">
        <x:v>C0106</x:v>
      </x:c>
      <x:c r="B916" s="7" t="n">
        <x:v>61</x:v>
      </x:c>
      <x:c r="C916" s="2" t="str">
        <x:f>INT(B916/10)*10&amp;"대"</x:f>
        <x:v>60대</x:v>
      </x:c>
      <x:c r="D916" s="2" t="str">
        <x:v>여성</x:v>
      </x:c>
      <x:c r="E916" s="7" t="n">
        <x:v>3000</x:v>
      </x:c>
      <x:c r="F916" s="7" t="n">
        <x:v>1</x:v>
      </x:c>
      <x:c r="G916" s="2" t="str">
        <x:v>기혼</x:v>
      </x:c>
      <x:c r="H916" s="7" t="n">
        <x:v>1</x:v>
      </x:c>
      <x:c r="I916" s="2" t="str">
        <x:f>IF(H916&lt;3,H916&amp;"명","3명 이상")</x:f>
        <x:v>1명</x:v>
      </x:c>
      <x:c r="J916" s="2" t="str">
        <x:v>비흡연</x:v>
      </x:c>
      <x:c r="K916" s="2" t="str">
        <x:v>고혈압</x:v>
      </x:c>
      <x:c r="L916" s="2" t="str">
        <x:v>암</x:v>
      </x:c>
      <x:c r="M916" s="2" t="str">
        <x:v>수호천사 간편심사(유병자)보험</x:v>
      </x:c>
      <x:c r="N916" s="2" t="str">
        <x:f>VLOOKUP(M916,'분류기준'!$A$5:$B$8,2,FALSE)</x:f>
        <x:v>간편심사보험</x:v>
      </x:c>
      <x:c r="O916" s="2" t="str">
        <x:v>중증질환 산정특례 보장 특약</x:v>
      </x:c>
      <x:c r="P916" s="2" t="str">
        <x:f>IF(O916="선택 안함","선택 안함",IF(O916="특약 없음","특약 없음","가입"))</x:f>
        <x:v>가입</x:v>
      </x:c>
      <x:c r="Q916" s="2" t="str">
        <x:f>IF(P916="가입","가입","미가입")</x:f>
        <x:v>가입</x:v>
      </x:c>
    </x:row>
    <x:row r="917" ht="23" customHeight="1">
      <x:c r="A917" s="2" t="str">
        <x:v>C0140</x:v>
      </x:c>
      <x:c r="B917" s="7" t="n">
        <x:v>61</x:v>
      </x:c>
      <x:c r="C917" s="2" t="str">
        <x:f>INT(B917/10)*10&amp;"대"</x:f>
        <x:v>60대</x:v>
      </x:c>
      <x:c r="D917" s="2" t="str">
        <x:v>여성</x:v>
      </x:c>
      <x:c r="E917" s="7" t="n">
        <x:v>4000</x:v>
      </x:c>
      <x:c r="F917" s="7" t="n">
        <x:v>1</x:v>
      </x:c>
      <x:c r="G917" s="2" t="str">
        <x:v>기혼</x:v>
      </x:c>
      <x:c r="H917" s="7" t="n">
        <x:v>1</x:v>
      </x:c>
      <x:c r="I917" s="2" t="str">
        <x:f>IF(H917&lt;3,H917&amp;"명","3명 이상")</x:f>
        <x:v>1명</x:v>
      </x:c>
      <x:c r="J917" s="2" t="str">
        <x:v>흡연</x:v>
      </x:c>
      <x:c r="K917" s="2" t="str">
        <x:v>고혈압</x:v>
      </x:c>
      <x:c r="L917" s="2" t="str">
        <x:v>암</x:v>
      </x:c>
      <x:c r="M917" s="2" t="str">
        <x:v>수호천사 우리가족 종신보험</x:v>
      </x:c>
      <x:c r="N917" s="2" t="str">
        <x:f>VLOOKUP(M917,'분류기준'!$A$5:$B$8,2,FALSE)</x:f>
        <x:v>종신보험</x:v>
      </x:c>
      <x:c r="O917" s="2" t="str">
        <x:v>가족 수입 보장 특약</x:v>
      </x:c>
      <x:c r="P917" s="2" t="str">
        <x:f>IF(O917="선택 안함","선택 안함",IF(O917="특약 없음","특약 없음","가입"))</x:f>
        <x:v>가입</x:v>
      </x:c>
      <x:c r="Q917" s="2" t="str">
        <x:f>IF(P917="가입","가입","미가입")</x:f>
        <x:v>가입</x:v>
      </x:c>
    </x:row>
    <x:row r="918" ht="23" customHeight="1">
      <x:c r="A918" s="2" t="str">
        <x:v>C0161</x:v>
      </x:c>
      <x:c r="B918" s="7" t="n">
        <x:v>61</x:v>
      </x:c>
      <x:c r="C918" s="2" t="str">
        <x:f>INT(B918/10)*10&amp;"대"</x:f>
        <x:v>60대</x:v>
      </x:c>
      <x:c r="D918" s="2" t="str">
        <x:v>남성</x:v>
      </x:c>
      <x:c r="E918" s="7" t="n">
        <x:v>4000</x:v>
      </x:c>
      <x:c r="F918" s="7" t="n">
        <x:v>1</x:v>
      </x:c>
      <x:c r="G918" s="2" t="str">
        <x:v>미혼</x:v>
      </x:c>
      <x:c r="H918" s="7" t="n">
        <x:v>0</x:v>
      </x:c>
      <x:c r="I918" s="2" t="str">
        <x:f>IF(H918&lt;3,H918&amp;"명","3명 이상")</x:f>
        <x:v>0명</x:v>
      </x:c>
      <x:c r="J918" s="2" t="str">
        <x:v>비흡연</x:v>
      </x:c>
      <x:c r="K918" s="2" t="str">
        <x:v>없음</x:v>
      </x:c>
      <x:c r="L918" s="2" t="str">
        <x:v>암</x:v>
      </x:c>
      <x:c r="M918" s="2" t="str">
        <x:v>수호천사 간편심사(유병자)보험</x:v>
      </x:c>
      <x:c r="N918" s="2" t="str">
        <x:f>VLOOKUP(M918,'분류기준'!$A$5:$B$8,2,FALSE)</x:f>
        <x:v>간편심사보험</x:v>
      </x:c>
      <x:c r="O918" s="2" t="str">
        <x:v>중증질환 산정특례 보장 특약</x:v>
      </x:c>
      <x:c r="P918" s="2" t="str">
        <x:f>IF(O918="선택 안함","선택 안함",IF(O918="특약 없음","특약 없음","가입"))</x:f>
        <x:v>가입</x:v>
      </x:c>
      <x:c r="Q918" s="2" t="str">
        <x:f>IF(P918="가입","가입","미가입")</x:f>
        <x:v>가입</x:v>
      </x:c>
    </x:row>
    <x:row r="919" ht="23" customHeight="1">
      <x:c r="A919" s="2" t="str">
        <x:v>C0187</x:v>
      </x:c>
      <x:c r="B919" s="7" t="n">
        <x:v>61</x:v>
      </x:c>
      <x:c r="C919" s="2" t="str">
        <x:f>INT(B919/10)*10&amp;"대"</x:f>
        <x:v>60대</x:v>
      </x:c>
      <x:c r="D919" s="2" t="str">
        <x:v>남성</x:v>
      </x:c>
      <x:c r="E919" s="7" t="n">
        <x:v>7500</x:v>
      </x:c>
      <x:c r="F919" s="7" t="n">
        <x:v>1</x:v>
      </x:c>
      <x:c r="G919" s="2" t="str">
        <x:v>미혼</x:v>
      </x:c>
      <x:c r="H919" s="7" t="n">
        <x:v>0</x:v>
      </x:c>
      <x:c r="I919" s="2" t="str">
        <x:f>IF(H919&lt;3,H919&amp;"명","3명 이상")</x:f>
        <x:v>0명</x:v>
      </x:c>
      <x:c r="J919" s="2" t="str">
        <x:v>비흡연</x:v>
      </x:c>
      <x:c r="K919" s="2" t="str">
        <x:v>고혈압</x:v>
      </x:c>
      <x:c r="L919" s="2" t="str">
        <x:v>없음</x:v>
      </x:c>
      <x:c r="M919" s="2" t="str">
        <x:v>수호천사 행복 연금보험</x:v>
      </x:c>
      <x:c r="N919" s="2" t="str">
        <x:f>VLOOKUP(M919,'분류기준'!$A$5:$B$8,2,FALSE)</x:f>
        <x:v>연금보험</x:v>
      </x:c>
      <x:c r="O919" s="2" t="str">
        <x:v>특약 없음</x:v>
      </x:c>
      <x:c r="P919" s="2" t="str">
        <x:f>IF(O919="선택 안함","선택 안함",IF(O919="특약 없음","특약 없음","가입"))</x:f>
        <x:v>특약 없음</x:v>
      </x:c>
      <x:c r="Q919" s="2" t="str">
        <x:f>IF(P919="가입","가입","미가입")</x:f>
        <x:v>미가입</x:v>
      </x:c>
    </x:row>
    <x:row r="920" ht="23" customHeight="1">
      <x:c r="A920" s="2" t="str">
        <x:v>C0255</x:v>
      </x:c>
      <x:c r="B920" s="7" t="n">
        <x:v>61</x:v>
      </x:c>
      <x:c r="C920" s="2" t="str">
        <x:f>INT(B920/10)*10&amp;"대"</x:f>
        <x:v>60대</x:v>
      </x:c>
      <x:c r="D920" s="2" t="str">
        <x:v>여성</x:v>
      </x:c>
      <x:c r="E920" s="7" t="n">
        <x:v>4000</x:v>
      </x:c>
      <x:c r="F920" s="7" t="n">
        <x:v>2</x:v>
      </x:c>
      <x:c r="G920" s="2" t="str">
        <x:v>기혼</x:v>
      </x:c>
      <x:c r="H920" s="7" t="n">
        <x:v>2</x:v>
      </x:c>
      <x:c r="I920" s="2" t="str">
        <x:f>IF(H920&lt;3,H920&amp;"명","3명 이상")</x:f>
        <x:v>2명</x:v>
      </x:c>
      <x:c r="J920" s="2" t="str">
        <x:v>비흡연</x:v>
      </x:c>
      <x:c r="K920" s="2" t="str">
        <x:v>당뇨</x:v>
      </x:c>
      <x:c r="L920" s="2" t="str">
        <x:v>없음</x:v>
      </x:c>
      <x:c r="M920" s="2" t="str">
        <x:v>수호천사 행복 연금보험</x:v>
      </x:c>
      <x:c r="N920" s="2" t="str">
        <x:f>VLOOKUP(M920,'분류기준'!$A$5:$B$8,2,FALSE)</x:f>
        <x:v>연금보험</x:v>
      </x:c>
      <x:c r="O920" s="2" t="str">
        <x:v>특약 없음</x:v>
      </x:c>
      <x:c r="P920" s="2" t="str">
        <x:f>IF(O920="선택 안함","선택 안함",IF(O920="특약 없음","특약 없음","가입"))</x:f>
        <x:v>특약 없음</x:v>
      </x:c>
      <x:c r="Q920" s="2" t="str">
        <x:f>IF(P920="가입","가입","미가입")</x:f>
        <x:v>미가입</x:v>
      </x:c>
    </x:row>
    <x:row r="921" ht="23" customHeight="1">
      <x:c r="A921" s="2" t="str">
        <x:v>C0350</x:v>
      </x:c>
      <x:c r="B921" s="7" t="n">
        <x:v>61</x:v>
      </x:c>
      <x:c r="C921" s="2" t="str">
        <x:f>INT(B921/10)*10&amp;"대"</x:f>
        <x:v>60대</x:v>
      </x:c>
      <x:c r="D921" s="2" t="str">
        <x:v>남성</x:v>
      </x:c>
      <x:c r="E921" s="7" t="n">
        <x:v>3000</x:v>
      </x:c>
      <x:c r="F921" s="7" t="n">
        <x:v>1</x:v>
      </x:c>
      <x:c r="G921" s="2" t="str">
        <x:v>기혼</x:v>
      </x:c>
      <x:c r="H921" s="7" t="n">
        <x:v>2</x:v>
      </x:c>
      <x:c r="I921" s="2" t="str">
        <x:f>IF(H921&lt;3,H921&amp;"명","3명 이상")</x:f>
        <x:v>2명</x:v>
      </x:c>
      <x:c r="J921" s="2" t="str">
        <x:v>비흡연</x:v>
      </x:c>
      <x:c r="K921" s="2" t="str">
        <x:v>고혈압</x:v>
      </x:c>
      <x:c r="L921" s="2" t="str">
        <x:v>암</x:v>
      </x:c>
      <x:c r="M921" s="2" t="str">
        <x:v>수호천사 간편심사(유병자)보험</x:v>
      </x:c>
      <x:c r="N921" s="2" t="str">
        <x:f>VLOOKUP(M921,'분류기준'!$A$5:$B$8,2,FALSE)</x:f>
        <x:v>간편심사보험</x:v>
      </x:c>
      <x:c r="O921" s="2" t="str">
        <x:v>중증질환 산정특례 보장 특약</x:v>
      </x:c>
      <x:c r="P921" s="2" t="str">
        <x:f>IF(O921="선택 안함","선택 안함",IF(O921="특약 없음","특약 없음","가입"))</x:f>
        <x:v>가입</x:v>
      </x:c>
      <x:c r="Q921" s="2" t="str">
        <x:f>IF(P921="가입","가입","미가입")</x:f>
        <x:v>가입</x:v>
      </x:c>
    </x:row>
    <x:row r="922" ht="23" customHeight="1">
      <x:c r="A922" s="2" t="str">
        <x:v>C0361</x:v>
      </x:c>
      <x:c r="B922" s="7" t="n">
        <x:v>61</x:v>
      </x:c>
      <x:c r="C922" s="2" t="str">
        <x:f>INT(B922/10)*10&amp;"대"</x:f>
        <x:v>60대</x:v>
      </x:c>
      <x:c r="D922" s="2" t="str">
        <x:v>여성</x:v>
      </x:c>
      <x:c r="E922" s="7" t="n">
        <x:v>4000</x:v>
      </x:c>
      <x:c r="F922" s="7" t="n">
        <x:v>1</x:v>
      </x:c>
      <x:c r="G922" s="2" t="str">
        <x:v>기혼</x:v>
      </x:c>
      <x:c r="H922" s="7" t="n">
        <x:v>2</x:v>
      </x:c>
      <x:c r="I922" s="2" t="str">
        <x:f>IF(H922&lt;3,H922&amp;"명","3명 이상")</x:f>
        <x:v>2명</x:v>
      </x:c>
      <x:c r="J922" s="2" t="str">
        <x:v>비흡연</x:v>
      </x:c>
      <x:c r="K922" s="2" t="str">
        <x:v>없음</x:v>
      </x:c>
      <x:c r="L922" s="2" t="str">
        <x:v>없음</x:v>
      </x:c>
      <x:c r="M922" s="2" t="str">
        <x:v>수호천사 우리가족 종신보험</x:v>
      </x:c>
      <x:c r="N922" s="2" t="str">
        <x:f>VLOOKUP(M922,'분류기준'!$A$5:$B$8,2,FALSE)</x:f>
        <x:v>종신보험</x:v>
      </x:c>
      <x:c r="O922" s="2" t="str">
        <x:v>가족 수입 보장 특약</x:v>
      </x:c>
      <x:c r="P922" s="2" t="str">
        <x:f>IF(O922="선택 안함","선택 안함",IF(O922="특약 없음","특약 없음","가입"))</x:f>
        <x:v>가입</x:v>
      </x:c>
      <x:c r="Q922" s="2" t="str">
        <x:f>IF(P922="가입","가입","미가입")</x:f>
        <x:v>가입</x:v>
      </x:c>
    </x:row>
    <x:row r="923" ht="23" customHeight="1">
      <x:c r="A923" s="2" t="str">
        <x:v>C0371</x:v>
      </x:c>
      <x:c r="B923" s="7" t="n">
        <x:v>61</x:v>
      </x:c>
      <x:c r="C923" s="2" t="str">
        <x:f>INT(B923/10)*10&amp;"대"</x:f>
        <x:v>60대</x:v>
      </x:c>
      <x:c r="D923" s="2" t="str">
        <x:v>남성</x:v>
      </x:c>
      <x:c r="E923" s="7" t="n">
        <x:v>3000</x:v>
      </x:c>
      <x:c r="F923" s="7" t="n">
        <x:v>1</x:v>
      </x:c>
      <x:c r="G923" s="2" t="str">
        <x:v>기혼</x:v>
      </x:c>
      <x:c r="H923" s="7" t="n">
        <x:v>1</x:v>
      </x:c>
      <x:c r="I923" s="2" t="str">
        <x:f>IF(H923&lt;3,H923&amp;"명","3명 이상")</x:f>
        <x:v>1명</x:v>
      </x:c>
      <x:c r="J923" s="2" t="str">
        <x:v>비흡연</x:v>
      </x:c>
      <x:c r="K923" s="2" t="str">
        <x:v>당뇨</x:v>
      </x:c>
      <x:c r="L923" s="2" t="str">
        <x:v>없음</x:v>
      </x:c>
      <x:c r="M923" s="2" t="str">
        <x:v>수호천사 간편심사(유병자)보험</x:v>
      </x:c>
      <x:c r="N923" s="2" t="str">
        <x:f>VLOOKUP(M923,'분류기준'!$A$5:$B$8,2,FALSE)</x:f>
        <x:v>간편심사보험</x:v>
      </x:c>
      <x:c r="O923" s="2" t="str">
        <x:v>중증질환 산정특례 보장 특약</x:v>
      </x:c>
      <x:c r="P923" s="2" t="str">
        <x:f>IF(O923="선택 안함","선택 안함",IF(O923="특약 없음","특약 없음","가입"))</x:f>
        <x:v>가입</x:v>
      </x:c>
      <x:c r="Q923" s="2" t="str">
        <x:f>IF(P923="가입","가입","미가입")</x:f>
        <x:v>가입</x:v>
      </x:c>
    </x:row>
    <x:row r="924" ht="23" customHeight="1">
      <x:c r="A924" s="2" t="str">
        <x:v>C0398</x:v>
      </x:c>
      <x:c r="B924" s="7" t="n">
        <x:v>61</x:v>
      </x:c>
      <x:c r="C924" s="2" t="str">
        <x:f>INT(B924/10)*10&amp;"대"</x:f>
        <x:v>60대</x:v>
      </x:c>
      <x:c r="D924" s="2" t="str">
        <x:v>남성</x:v>
      </x:c>
      <x:c r="E924" s="7" t="n">
        <x:v>6000</x:v>
      </x:c>
      <x:c r="F924" s="7" t="n">
        <x:v>1</x:v>
      </x:c>
      <x:c r="G924" s="2" t="str">
        <x:v>기혼</x:v>
      </x:c>
      <x:c r="H924" s="7" t="n">
        <x:v>2</x:v>
      </x:c>
      <x:c r="I924" s="2" t="str">
        <x:f>IF(H924&lt;3,H924&amp;"명","3명 이상")</x:f>
        <x:v>2명</x:v>
      </x:c>
      <x:c r="J924" s="2" t="str">
        <x:v>비흡연</x:v>
      </x:c>
      <x:c r="K924" s="2" t="str">
        <x:v>없음</x:v>
      </x:c>
      <x:c r="L924" s="2" t="str">
        <x:v>없음</x:v>
      </x:c>
      <x:c r="M924" s="2" t="str">
        <x:v>수호천사 암/건강보험</x:v>
      </x:c>
      <x:c r="N924" s="2" t="str">
        <x:f>VLOOKUP(M924,'분류기준'!$A$5:$B$8,2,FALSE)</x:f>
        <x:v>암/건강보험</x:v>
      </x:c>
      <x:c r="O924" s="2" t="str">
        <x:v>표적항암약물허가치료 특약</x:v>
      </x:c>
      <x:c r="P924" s="2" t="str">
        <x:f>IF(O924="선택 안함","선택 안함",IF(O924="특약 없음","특약 없음","가입"))</x:f>
        <x:v>가입</x:v>
      </x:c>
      <x:c r="Q924" s="2" t="str">
        <x:f>IF(P924="가입","가입","미가입")</x:f>
        <x:v>가입</x:v>
      </x:c>
    </x:row>
    <x:row r="925" ht="23" customHeight="1">
      <x:c r="A925" s="2" t="str">
        <x:v>C0418</x:v>
      </x:c>
      <x:c r="B925" s="7" t="n">
        <x:v>61</x:v>
      </x:c>
      <x:c r="C925" s="2" t="str">
        <x:f>INT(B925/10)*10&amp;"대"</x:f>
        <x:v>60대</x:v>
      </x:c>
      <x:c r="D925" s="2" t="str">
        <x:v>여성</x:v>
      </x:c>
      <x:c r="E925" s="7" t="n">
        <x:v>9000</x:v>
      </x:c>
      <x:c r="F925" s="7" t="n">
        <x:v>1</x:v>
      </x:c>
      <x:c r="G925" s="2" t="str">
        <x:v>기혼</x:v>
      </x:c>
      <x:c r="H925" s="7" t="n">
        <x:v>0</x:v>
      </x:c>
      <x:c r="I925" s="2" t="str">
        <x:f>IF(H925&lt;3,H925&amp;"명","3명 이상")</x:f>
        <x:v>0명</x:v>
      </x:c>
      <x:c r="J925" s="2" t="str">
        <x:v>비흡연</x:v>
      </x:c>
      <x:c r="K925" s="2" t="str">
        <x:v>없음</x:v>
      </x:c>
      <x:c r="L925" s="2" t="str">
        <x:v>없음</x:v>
      </x:c>
      <x:c r="M925" s="2" t="str">
        <x:v>수호천사 행복 연금보험</x:v>
      </x:c>
      <x:c r="N925" s="2" t="str">
        <x:f>VLOOKUP(M925,'분류기준'!$A$5:$B$8,2,FALSE)</x:f>
        <x:v>연금보험</x:v>
      </x:c>
      <x:c r="O925" s="2" t="str">
        <x:v>특약 없음</x:v>
      </x:c>
      <x:c r="P925" s="2" t="str">
        <x:f>IF(O925="선택 안함","선택 안함",IF(O925="특약 없음","특약 없음","가입"))</x:f>
        <x:v>특약 없음</x:v>
      </x:c>
      <x:c r="Q925" s="2" t="str">
        <x:f>IF(P925="가입","가입","미가입")</x:f>
        <x:v>미가입</x:v>
      </x:c>
    </x:row>
    <x:row r="926" ht="23" customHeight="1">
      <x:c r="A926" s="2" t="str">
        <x:v>C0577</x:v>
      </x:c>
      <x:c r="B926" s="7" t="n">
        <x:v>61</x:v>
      </x:c>
      <x:c r="C926" s="2" t="str">
        <x:f>INT(B926/10)*10&amp;"대"</x:f>
        <x:v>60대</x:v>
      </x:c>
      <x:c r="D926" s="2" t="str">
        <x:v>여성</x:v>
      </x:c>
      <x:c r="E926" s="7" t="n">
        <x:v>5000</x:v>
      </x:c>
      <x:c r="F926" s="7" t="n">
        <x:v>3</x:v>
      </x:c>
      <x:c r="G926" s="2" t="str">
        <x:v>기혼</x:v>
      </x:c>
      <x:c r="H926" s="7" t="n">
        <x:v>1</x:v>
      </x:c>
      <x:c r="I926" s="2" t="str">
        <x:f>IF(H926&lt;3,H926&amp;"명","3명 이상")</x:f>
        <x:v>1명</x:v>
      </x:c>
      <x:c r="J926" s="2" t="str">
        <x:v>비흡연</x:v>
      </x:c>
      <x:c r="K926" s="2" t="str">
        <x:v>당뇨</x:v>
      </x:c>
      <x:c r="L926" s="2" t="str">
        <x:v>심혈관</x:v>
      </x:c>
      <x:c r="M926" s="2" t="str">
        <x:v>수호천사 간편심사(유병자)보험</x:v>
      </x:c>
      <x:c r="N926" s="2" t="str">
        <x:f>VLOOKUP(M926,'분류기준'!$A$5:$B$8,2,FALSE)</x:f>
        <x:v>간편심사보험</x:v>
      </x:c>
      <x:c r="O926" s="2" t="str">
        <x:v>중증질환 산정특례 보장 특약</x:v>
      </x:c>
      <x:c r="P926" s="2" t="str">
        <x:f>IF(O926="선택 안함","선택 안함",IF(O926="특약 없음","특약 없음","가입"))</x:f>
        <x:v>가입</x:v>
      </x:c>
      <x:c r="Q926" s="2" t="str">
        <x:f>IF(P926="가입","가입","미가입")</x:f>
        <x:v>가입</x:v>
      </x:c>
    </x:row>
    <x:row r="927" ht="23" customHeight="1">
      <x:c r="A927" s="2" t="str">
        <x:v>C0598</x:v>
      </x:c>
      <x:c r="B927" s="7" t="n">
        <x:v>61</x:v>
      </x:c>
      <x:c r="C927" s="2" t="str">
        <x:f>INT(B927/10)*10&amp;"대"</x:f>
        <x:v>60대</x:v>
      </x:c>
      <x:c r="D927" s="2" t="str">
        <x:v>여성</x:v>
      </x:c>
      <x:c r="E927" s="7" t="n">
        <x:v>6000</x:v>
      </x:c>
      <x:c r="F927" s="7" t="n">
        <x:v>1</x:v>
      </x:c>
      <x:c r="G927" s="2" t="str">
        <x:v>기혼</x:v>
      </x:c>
      <x:c r="H927" s="7" t="n">
        <x:v>2</x:v>
      </x:c>
      <x:c r="I927" s="2" t="str">
        <x:f>IF(H927&lt;3,H927&amp;"명","3명 이상")</x:f>
        <x:v>2명</x:v>
      </x:c>
      <x:c r="J927" s="2" t="str">
        <x:v>비흡연</x:v>
      </x:c>
      <x:c r="K927" s="2" t="str">
        <x:v>없음</x:v>
      </x:c>
      <x:c r="L927" s="2" t="str">
        <x:v>없음</x:v>
      </x:c>
      <x:c r="M927" s="2" t="str">
        <x:v>수호천사 간편심사(유병자)보험</x:v>
      </x:c>
      <x:c r="N927" s="2" t="str">
        <x:f>VLOOKUP(M927,'분류기준'!$A$5:$B$8,2,FALSE)</x:f>
        <x:v>간편심사보험</x:v>
      </x:c>
      <x:c r="O927" s="2" t="str">
        <x:v>중증질환 산정특례 보장 특약</x:v>
      </x:c>
      <x:c r="P927" s="2" t="str">
        <x:f>IF(O927="선택 안함","선택 안함",IF(O927="특약 없음","특약 없음","가입"))</x:f>
        <x:v>가입</x:v>
      </x:c>
      <x:c r="Q927" s="2" t="str">
        <x:f>IF(P927="가입","가입","미가입")</x:f>
        <x:v>가입</x:v>
      </x:c>
    </x:row>
    <x:row r="928" ht="23" customHeight="1">
      <x:c r="A928" s="2" t="str">
        <x:v>C0786</x:v>
      </x:c>
      <x:c r="B928" s="7" t="n">
        <x:v>61</x:v>
      </x:c>
      <x:c r="C928" s="2" t="str">
        <x:f>INT(B928/10)*10&amp;"대"</x:f>
        <x:v>60대</x:v>
      </x:c>
      <x:c r="D928" s="2" t="str">
        <x:v>남성</x:v>
      </x:c>
      <x:c r="E928" s="7" t="n">
        <x:v>4000</x:v>
      </x:c>
      <x:c r="F928" s="7" t="n">
        <x:v>2</x:v>
      </x:c>
      <x:c r="G928" s="2" t="str">
        <x:v>기혼</x:v>
      </x:c>
      <x:c r="H928" s="7" t="n">
        <x:v>0</x:v>
      </x:c>
      <x:c r="I928" s="2" t="str">
        <x:f>IF(H928&lt;3,H928&amp;"명","3명 이상")</x:f>
        <x:v>0명</x:v>
      </x:c>
      <x:c r="J928" s="2" t="str">
        <x:v>비흡연</x:v>
      </x:c>
      <x:c r="K928" s="2" t="str">
        <x:v>없음</x:v>
      </x:c>
      <x:c r="L928" s="2" t="str">
        <x:v>없음</x:v>
      </x:c>
      <x:c r="M928" s="2" t="str">
        <x:v>수호천사 행복 연금보험</x:v>
      </x:c>
      <x:c r="N928" s="2" t="str">
        <x:f>VLOOKUP(M928,'분류기준'!$A$5:$B$8,2,FALSE)</x:f>
        <x:v>연금보험</x:v>
      </x:c>
      <x:c r="O928" s="2" t="str">
        <x:v>특약 없음</x:v>
      </x:c>
      <x:c r="P928" s="2" t="str">
        <x:f>IF(O928="선택 안함","선택 안함",IF(O928="특약 없음","특약 없음","가입"))</x:f>
        <x:v>특약 없음</x:v>
      </x:c>
      <x:c r="Q928" s="2" t="str">
        <x:f>IF(P928="가입","가입","미가입")</x:f>
        <x:v>미가입</x:v>
      </x:c>
    </x:row>
    <x:row r="929" ht="23" customHeight="1">
      <x:c r="A929" s="2" t="str">
        <x:v>C0826</x:v>
      </x:c>
      <x:c r="B929" s="7" t="n">
        <x:v>61</x:v>
      </x:c>
      <x:c r="C929" s="2" t="str">
        <x:f>INT(B929/10)*10&amp;"대"</x:f>
        <x:v>60대</x:v>
      </x:c>
      <x:c r="D929" s="2" t="str">
        <x:v>여성</x:v>
      </x:c>
      <x:c r="E929" s="7" t="n">
        <x:v>3000</x:v>
      </x:c>
      <x:c r="F929" s="7" t="n">
        <x:v>2</x:v>
      </x:c>
      <x:c r="G929" s="2" t="str">
        <x:v>기혼</x:v>
      </x:c>
      <x:c r="H929" s="7" t="n">
        <x:v>1</x:v>
      </x:c>
      <x:c r="I929" s="2" t="str">
        <x:f>IF(H929&lt;3,H929&amp;"명","3명 이상")</x:f>
        <x:v>1명</x:v>
      </x:c>
      <x:c r="J929" s="2" t="str">
        <x:v>비흡연</x:v>
      </x:c>
      <x:c r="K929" s="2" t="str">
        <x:v>당뇨</x:v>
      </x:c>
      <x:c r="L929" s="2" t="str">
        <x:v>심혈관</x:v>
      </x:c>
      <x:c r="M929" s="2" t="str">
        <x:v>수호천사 암/건강보험</x:v>
      </x:c>
      <x:c r="N929" s="2" t="str">
        <x:f>VLOOKUP(M929,'분류기준'!$A$5:$B$8,2,FALSE)</x:f>
        <x:v>암/건강보험</x:v>
      </x:c>
      <x:c r="O929" s="2" t="str">
        <x:v>표적항암약물허가치료 특약</x:v>
      </x:c>
      <x:c r="P929" s="2" t="str">
        <x:f>IF(O929="선택 안함","선택 안함",IF(O929="특약 없음","특약 없음","가입"))</x:f>
        <x:v>가입</x:v>
      </x:c>
      <x:c r="Q929" s="2" t="str">
        <x:f>IF(P929="가입","가입","미가입")</x:f>
        <x:v>가입</x:v>
      </x:c>
    </x:row>
    <x:row r="930" ht="23" customHeight="1">
      <x:c r="A930" s="2" t="str">
        <x:v>C0902</x:v>
      </x:c>
      <x:c r="B930" s="7" t="n">
        <x:v>61</x:v>
      </x:c>
      <x:c r="C930" s="2" t="str">
        <x:f>INT(B930/10)*10&amp;"대"</x:f>
        <x:v>60대</x:v>
      </x:c>
      <x:c r="D930" s="2" t="str">
        <x:v>여성</x:v>
      </x:c>
      <x:c r="E930" s="7" t="n">
        <x:v>9000</x:v>
      </x:c>
      <x:c r="F930" s="7" t="n">
        <x:v>1</x:v>
      </x:c>
      <x:c r="G930" s="2" t="str">
        <x:v>기혼</x:v>
      </x:c>
      <x:c r="H930" s="7" t="n">
        <x:v>1</x:v>
      </x:c>
      <x:c r="I930" s="2" t="str">
        <x:f>IF(H930&lt;3,H930&amp;"명","3명 이상")</x:f>
        <x:v>1명</x:v>
      </x:c>
      <x:c r="J930" s="2" t="str">
        <x:v>비흡연</x:v>
      </x:c>
      <x:c r="K930" s="2" t="str">
        <x:v>고혈압</x:v>
      </x:c>
      <x:c r="L930" s="2" t="str">
        <x:v>심혈관</x:v>
      </x:c>
      <x:c r="M930" s="2" t="str">
        <x:v>수호천사 암/건강보험</x:v>
      </x:c>
      <x:c r="N930" s="2" t="str">
        <x:f>VLOOKUP(M930,'분류기준'!$A$5:$B$8,2,FALSE)</x:f>
        <x:v>암/건강보험</x:v>
      </x:c>
      <x:c r="O930" s="2" t="str">
        <x:v>선택 안함</x:v>
      </x:c>
      <x:c r="P930" s="2" t="str">
        <x:f>IF(O930="선택 안함","선택 안함",IF(O930="특약 없음","특약 없음","가입"))</x:f>
        <x:v>선택 안함</x:v>
      </x:c>
      <x:c r="Q930" s="2" t="str">
        <x:f>IF(P930="가입","가입","미가입")</x:f>
        <x:v>미가입</x:v>
      </x:c>
    </x:row>
    <x:row r="931" ht="23" customHeight="1">
      <x:c r="A931" s="2" t="str">
        <x:v>C0004</x:v>
      </x:c>
      <x:c r="B931" s="7" t="n">
        <x:v>62</x:v>
      </x:c>
      <x:c r="C931" s="2" t="str">
        <x:f>INT(B931/10)*10&amp;"대"</x:f>
        <x:v>60대</x:v>
      </x:c>
      <x:c r="D931" s="2" t="str">
        <x:v>여성</x:v>
      </x:c>
      <x:c r="E931" s="7" t="n">
        <x:v>5000</x:v>
      </x:c>
      <x:c r="F931" s="7" t="n">
        <x:v>2</x:v>
      </x:c>
      <x:c r="G931" s="2" t="str">
        <x:v>기혼</x:v>
      </x:c>
      <x:c r="H931" s="7" t="n">
        <x:v>1</x:v>
      </x:c>
      <x:c r="I931" s="2" t="str">
        <x:f>IF(H931&lt;3,H931&amp;"명","3명 이상")</x:f>
        <x:v>1명</x:v>
      </x:c>
      <x:c r="J931" s="2" t="str">
        <x:v>비흡연</x:v>
      </x:c>
      <x:c r="K931" s="2" t="str">
        <x:v>고혈압</x:v>
      </x:c>
      <x:c r="L931" s="2" t="str">
        <x:v>없음</x:v>
      </x:c>
      <x:c r="M931" s="2" t="str">
        <x:v>수호천사 행복 연금보험</x:v>
      </x:c>
      <x:c r="N931" s="2" t="str">
        <x:f>VLOOKUP(M931,'분류기준'!$A$5:$B$8,2,FALSE)</x:f>
        <x:v>연금보험</x:v>
      </x:c>
      <x:c r="O931" s="2" t="str">
        <x:v>특약 없음</x:v>
      </x:c>
      <x:c r="P931" s="2" t="str">
        <x:f>IF(O931="선택 안함","선택 안함",IF(O931="특약 없음","특약 없음","가입"))</x:f>
        <x:v>특약 없음</x:v>
      </x:c>
      <x:c r="Q931" s="2" t="str">
        <x:f>IF(P931="가입","가입","미가입")</x:f>
        <x:v>미가입</x:v>
      </x:c>
    </x:row>
    <x:row r="932" ht="23" customHeight="1">
      <x:c r="A932" s="2" t="str">
        <x:v>C0152</x:v>
      </x:c>
      <x:c r="B932" s="7" t="n">
        <x:v>62</x:v>
      </x:c>
      <x:c r="C932" s="2" t="str">
        <x:f>INT(B932/10)*10&amp;"대"</x:f>
        <x:v>60대</x:v>
      </x:c>
      <x:c r="D932" s="2" t="str">
        <x:v>여성</x:v>
      </x:c>
      <x:c r="E932" s="7" t="n">
        <x:v>4000</x:v>
      </x:c>
      <x:c r="F932" s="7" t="n">
        <x:v>2</x:v>
      </x:c>
      <x:c r="G932" s="2" t="str">
        <x:v>기혼</x:v>
      </x:c>
      <x:c r="H932" s="7" t="n">
        <x:v>0</x:v>
      </x:c>
      <x:c r="I932" s="2" t="str">
        <x:f>IF(H932&lt;3,H932&amp;"명","3명 이상")</x:f>
        <x:v>0명</x:v>
      </x:c>
      <x:c r="J932" s="2" t="str">
        <x:v>비흡연</x:v>
      </x:c>
      <x:c r="K932" s="2" t="str">
        <x:v>당뇨</x:v>
      </x:c>
      <x:c r="L932" s="2" t="str">
        <x:v>없음</x:v>
      </x:c>
      <x:c r="M932" s="2" t="str">
        <x:v>수호천사 간편심사(유병자)보험</x:v>
      </x:c>
      <x:c r="N932" s="2" t="str">
        <x:f>VLOOKUP(M932,'분류기준'!$A$5:$B$8,2,FALSE)</x:f>
        <x:v>간편심사보험</x:v>
      </x:c>
      <x:c r="O932" s="2" t="str">
        <x:v>선택 안함</x:v>
      </x:c>
      <x:c r="P932" s="2" t="str">
        <x:f>IF(O932="선택 안함","선택 안함",IF(O932="특약 없음","특약 없음","가입"))</x:f>
        <x:v>선택 안함</x:v>
      </x:c>
      <x:c r="Q932" s="2" t="str">
        <x:f>IF(P932="가입","가입","미가입")</x:f>
        <x:v>미가입</x:v>
      </x:c>
    </x:row>
    <x:row r="933" ht="23" customHeight="1">
      <x:c r="A933" s="2" t="str">
        <x:v>C0368</x:v>
      </x:c>
      <x:c r="B933" s="7" t="n">
        <x:v>62</x:v>
      </x:c>
      <x:c r="C933" s="2" t="str">
        <x:f>INT(B933/10)*10&amp;"대"</x:f>
        <x:v>60대</x:v>
      </x:c>
      <x:c r="D933" s="2" t="str">
        <x:v>여성</x:v>
      </x:c>
      <x:c r="E933" s="7" t="n">
        <x:v>4000</x:v>
      </x:c>
      <x:c r="F933" s="7" t="n">
        <x:v>3</x:v>
      </x:c>
      <x:c r="G933" s="2" t="str">
        <x:v>기혼</x:v>
      </x:c>
      <x:c r="H933" s="7" t="n">
        <x:v>2</x:v>
      </x:c>
      <x:c r="I933" s="2" t="str">
        <x:f>IF(H933&lt;3,H933&amp;"명","3명 이상")</x:f>
        <x:v>2명</x:v>
      </x:c>
      <x:c r="J933" s="2" t="str">
        <x:v>흡연</x:v>
      </x:c>
      <x:c r="K933" s="2" t="str">
        <x:v>고혈압</x:v>
      </x:c>
      <x:c r="L933" s="2" t="str">
        <x:v>없음</x:v>
      </x:c>
      <x:c r="M933" s="2" t="str">
        <x:v>수호천사 행복 연금보험</x:v>
      </x:c>
      <x:c r="N933" s="2" t="str">
        <x:f>VLOOKUP(M933,'분류기준'!$A$5:$B$8,2,FALSE)</x:f>
        <x:v>연금보험</x:v>
      </x:c>
      <x:c r="O933" s="2" t="str">
        <x:v>특약 없음</x:v>
      </x:c>
      <x:c r="P933" s="2" t="str">
        <x:f>IF(O933="선택 안함","선택 안함",IF(O933="특약 없음","특약 없음","가입"))</x:f>
        <x:v>특약 없음</x:v>
      </x:c>
      <x:c r="Q933" s="2" t="str">
        <x:f>IF(P933="가입","가입","미가입")</x:f>
        <x:v>미가입</x:v>
      </x:c>
    </x:row>
    <x:row r="934" ht="23" customHeight="1">
      <x:c r="A934" s="2" t="str">
        <x:v>C0401</x:v>
      </x:c>
      <x:c r="B934" s="7" t="n">
        <x:v>62</x:v>
      </x:c>
      <x:c r="C934" s="2" t="str">
        <x:f>INT(B934/10)*10&amp;"대"</x:f>
        <x:v>60대</x:v>
      </x:c>
      <x:c r="D934" s="2" t="str">
        <x:v>남성</x:v>
      </x:c>
      <x:c r="E934" s="7" t="n">
        <x:v>5000</x:v>
      </x:c>
      <x:c r="F934" s="7" t="n">
        <x:v>1</x:v>
      </x:c>
      <x:c r="G934" s="2" t="str">
        <x:v>기혼</x:v>
      </x:c>
      <x:c r="H934" s="7" t="n">
        <x:v>1</x:v>
      </x:c>
      <x:c r="I934" s="2" t="str">
        <x:f>IF(H934&lt;3,H934&amp;"명","3명 이상")</x:f>
        <x:v>1명</x:v>
      </x:c>
      <x:c r="J934" s="2" t="str">
        <x:v>비흡연</x:v>
      </x:c>
      <x:c r="K934" s="2" t="str">
        <x:v>당뇨</x:v>
      </x:c>
      <x:c r="L934" s="2" t="str">
        <x:v>심혈관</x:v>
      </x:c>
      <x:c r="M934" s="2" t="str">
        <x:v>수호천사 간편심사(유병자)보험</x:v>
      </x:c>
      <x:c r="N934" s="2" t="str">
        <x:f>VLOOKUP(M934,'분류기준'!$A$5:$B$8,2,FALSE)</x:f>
        <x:v>간편심사보험</x:v>
      </x:c>
      <x:c r="O934" s="2" t="str">
        <x:v>중증질환 산정특례 보장 특약</x:v>
      </x:c>
      <x:c r="P934" s="2" t="str">
        <x:f>IF(O934="선택 안함","선택 안함",IF(O934="특약 없음","특약 없음","가입"))</x:f>
        <x:v>가입</x:v>
      </x:c>
      <x:c r="Q934" s="2" t="str">
        <x:f>IF(P934="가입","가입","미가입")</x:f>
        <x:v>가입</x:v>
      </x:c>
    </x:row>
    <x:row r="935" ht="23" customHeight="1">
      <x:c r="A935" s="2" t="str">
        <x:v>C0492</x:v>
      </x:c>
      <x:c r="B935" s="7" t="n">
        <x:v>62</x:v>
      </x:c>
      <x:c r="C935" s="2" t="str">
        <x:f>INT(B935/10)*10&amp;"대"</x:f>
        <x:v>60대</x:v>
      </x:c>
      <x:c r="D935" s="2" t="str">
        <x:v>남성</x:v>
      </x:c>
      <x:c r="E935" s="7" t="n">
        <x:v>5000</x:v>
      </x:c>
      <x:c r="F935" s="7" t="n">
        <x:v>1</x:v>
      </x:c>
      <x:c r="G935" s="2" t="str">
        <x:v>기혼</x:v>
      </x:c>
      <x:c r="H935" s="7" t="n">
        <x:v>1</x:v>
      </x:c>
      <x:c r="I935" s="2" t="str">
        <x:f>IF(H935&lt;3,H935&amp;"명","3명 이상")</x:f>
        <x:v>1명</x:v>
      </x:c>
      <x:c r="J935" s="2" t="str">
        <x:v>비흡연</x:v>
      </x:c>
      <x:c r="K935" s="2" t="str">
        <x:v>없음</x:v>
      </x:c>
      <x:c r="L935" s="2" t="str">
        <x:v>없음</x:v>
      </x:c>
      <x:c r="M935" s="2" t="str">
        <x:v>수호천사 행복 연금보험</x:v>
      </x:c>
      <x:c r="N935" s="2" t="str">
        <x:f>VLOOKUP(M935,'분류기준'!$A$5:$B$8,2,FALSE)</x:f>
        <x:v>연금보험</x:v>
      </x:c>
      <x:c r="O935" s="2" t="str">
        <x:v>특약 없음</x:v>
      </x:c>
      <x:c r="P935" s="2" t="str">
        <x:f>IF(O935="선택 안함","선택 안함",IF(O935="특약 없음","특약 없음","가입"))</x:f>
        <x:v>특약 없음</x:v>
      </x:c>
      <x:c r="Q935" s="2" t="str">
        <x:f>IF(P935="가입","가입","미가입")</x:f>
        <x:v>미가입</x:v>
      </x:c>
    </x:row>
    <x:row r="936" ht="23" customHeight="1">
      <x:c r="A936" s="2" t="str">
        <x:v>C0500</x:v>
      </x:c>
      <x:c r="B936" s="7" t="n">
        <x:v>62</x:v>
      </x:c>
      <x:c r="C936" s="2" t="str">
        <x:f>INT(B936/10)*10&amp;"대"</x:f>
        <x:v>60대</x:v>
      </x:c>
      <x:c r="D936" s="2" t="str">
        <x:v>여성</x:v>
      </x:c>
      <x:c r="E936" s="7" t="n">
        <x:v>4000</x:v>
      </x:c>
      <x:c r="F936" s="7" t="n">
        <x:v>1</x:v>
      </x:c>
      <x:c r="G936" s="2" t="str">
        <x:v>기혼</x:v>
      </x:c>
      <x:c r="H936" s="7" t="n">
        <x:v>0</x:v>
      </x:c>
      <x:c r="I936" s="2" t="str">
        <x:f>IF(H936&lt;3,H936&amp;"명","3명 이상")</x:f>
        <x:v>0명</x:v>
      </x:c>
      <x:c r="J936" s="2" t="str">
        <x:v>비흡연</x:v>
      </x:c>
      <x:c r="K936" s="2" t="str">
        <x:v>고혈압</x:v>
      </x:c>
      <x:c r="L936" s="2" t="str">
        <x:v>심혈관</x:v>
      </x:c>
      <x:c r="M936" s="2" t="str">
        <x:v>수호천사 행복 연금보험</x:v>
      </x:c>
      <x:c r="N936" s="2" t="str">
        <x:f>VLOOKUP(M936,'분류기준'!$A$5:$B$8,2,FALSE)</x:f>
        <x:v>연금보험</x:v>
      </x:c>
      <x:c r="O936" s="2" t="str">
        <x:v>특약 없음</x:v>
      </x:c>
      <x:c r="P936" s="2" t="str">
        <x:f>IF(O936="선택 안함","선택 안함",IF(O936="특약 없음","특약 없음","가입"))</x:f>
        <x:v>특약 없음</x:v>
      </x:c>
      <x:c r="Q936" s="2" t="str">
        <x:f>IF(P936="가입","가입","미가입")</x:f>
        <x:v>미가입</x:v>
      </x:c>
    </x:row>
    <x:row r="937" ht="23" customHeight="1">
      <x:c r="A937" s="2" t="str">
        <x:v>C0585</x:v>
      </x:c>
      <x:c r="B937" s="7" t="n">
        <x:v>62</x:v>
      </x:c>
      <x:c r="C937" s="2" t="str">
        <x:f>INT(B937/10)*10&amp;"대"</x:f>
        <x:v>60대</x:v>
      </x:c>
      <x:c r="D937" s="2" t="str">
        <x:v>여성</x:v>
      </x:c>
      <x:c r="E937" s="7" t="n">
        <x:v>7500</x:v>
      </x:c>
      <x:c r="F937" s="7" t="n">
        <x:v>2</x:v>
      </x:c>
      <x:c r="G937" s="2" t="str">
        <x:v>기혼</x:v>
      </x:c>
      <x:c r="H937" s="7" t="n">
        <x:v>2</x:v>
      </x:c>
      <x:c r="I937" s="2" t="str">
        <x:f>IF(H937&lt;3,H937&amp;"명","3명 이상")</x:f>
        <x:v>2명</x:v>
      </x:c>
      <x:c r="J937" s="2" t="str">
        <x:v>비흡연</x:v>
      </x:c>
      <x:c r="K937" s="2" t="str">
        <x:v>없음</x:v>
      </x:c>
      <x:c r="L937" s="2" t="str">
        <x:v>없음</x:v>
      </x:c>
      <x:c r="M937" s="2" t="str">
        <x:v>수호천사 암/건강보험</x:v>
      </x:c>
      <x:c r="N937" s="2" t="str">
        <x:f>VLOOKUP(M937,'분류기준'!$A$5:$B$8,2,FALSE)</x:f>
        <x:v>암/건강보험</x:v>
      </x:c>
      <x:c r="O937" s="2" t="str">
        <x:v>표적항암약물허가치료 특약</x:v>
      </x:c>
      <x:c r="P937" s="2" t="str">
        <x:f>IF(O937="선택 안함","선택 안함",IF(O937="특약 없음","특약 없음","가입"))</x:f>
        <x:v>가입</x:v>
      </x:c>
      <x:c r="Q937" s="2" t="str">
        <x:f>IF(P937="가입","가입","미가입")</x:f>
        <x:v>가입</x:v>
      </x:c>
    </x:row>
    <x:row r="938" ht="23" customHeight="1">
      <x:c r="A938" s="2" t="str">
        <x:v>C0802</x:v>
      </x:c>
      <x:c r="B938" s="7" t="n">
        <x:v>62</x:v>
      </x:c>
      <x:c r="C938" s="2" t="str">
        <x:f>INT(B938/10)*10&amp;"대"</x:f>
        <x:v>60대</x:v>
      </x:c>
      <x:c r="D938" s="2" t="str">
        <x:v>여성</x:v>
      </x:c>
      <x:c r="E938" s="7" t="n">
        <x:v>4000</x:v>
      </x:c>
      <x:c r="F938" s="7" t="n">
        <x:v>1</x:v>
      </x:c>
      <x:c r="G938" s="2" t="str">
        <x:v>기혼</x:v>
      </x:c>
      <x:c r="H938" s="7" t="n">
        <x:v>1</x:v>
      </x:c>
      <x:c r="I938" s="2" t="str">
        <x:f>IF(H938&lt;3,H938&amp;"명","3명 이상")</x:f>
        <x:v>1명</x:v>
      </x:c>
      <x:c r="J938" s="2" t="str">
        <x:v>비흡연</x:v>
      </x:c>
      <x:c r="K938" s="2" t="str">
        <x:v>없음</x:v>
      </x:c>
      <x:c r="L938" s="2" t="str">
        <x:v>없음</x:v>
      </x:c>
      <x:c r="M938" s="2" t="str">
        <x:v>수호천사 간편심사(유병자)보험</x:v>
      </x:c>
      <x:c r="N938" s="2" t="str">
        <x:f>VLOOKUP(M938,'분류기준'!$A$5:$B$8,2,FALSE)</x:f>
        <x:v>간편심사보험</x:v>
      </x:c>
      <x:c r="O938" s="2" t="str">
        <x:v>중증질환 산정특례 보장 특약</x:v>
      </x:c>
      <x:c r="P938" s="2" t="str">
        <x:f>IF(O938="선택 안함","선택 안함",IF(O938="특약 없음","특약 없음","가입"))</x:f>
        <x:v>가입</x:v>
      </x:c>
      <x:c r="Q938" s="2" t="str">
        <x:f>IF(P938="가입","가입","미가입")</x:f>
        <x:v>가입</x:v>
      </x:c>
    </x:row>
    <x:row r="939" ht="23" customHeight="1">
      <x:c r="A939" s="2" t="str">
        <x:v>C0803</x:v>
      </x:c>
      <x:c r="B939" s="7" t="n">
        <x:v>62</x:v>
      </x:c>
      <x:c r="C939" s="2" t="str">
        <x:f>INT(B939/10)*10&amp;"대"</x:f>
        <x:v>60대</x:v>
      </x:c>
      <x:c r="D939" s="2" t="str">
        <x:v>여성</x:v>
      </x:c>
      <x:c r="E939" s="7" t="n">
        <x:v>6000</x:v>
      </x:c>
      <x:c r="F939" s="7" t="n">
        <x:v>1</x:v>
      </x:c>
      <x:c r="G939" s="2" t="str">
        <x:v>기혼</x:v>
      </x:c>
      <x:c r="H939" s="7" t="n">
        <x:v>2</x:v>
      </x:c>
      <x:c r="I939" s="2" t="str">
        <x:f>IF(H939&lt;3,H939&amp;"명","3명 이상")</x:f>
        <x:v>2명</x:v>
      </x:c>
      <x:c r="J939" s="2" t="str">
        <x:v>비흡연</x:v>
      </x:c>
      <x:c r="K939" s="2" t="str">
        <x:v>없음</x:v>
      </x:c>
      <x:c r="L939" s="2" t="str">
        <x:v>없음</x:v>
      </x:c>
      <x:c r="M939" s="2" t="str">
        <x:v>수호천사 암/건강보험</x:v>
      </x:c>
      <x:c r="N939" s="2" t="str">
        <x:f>VLOOKUP(M939,'분류기준'!$A$5:$B$8,2,FALSE)</x:f>
        <x:v>암/건강보험</x:v>
      </x:c>
      <x:c r="O939" s="2" t="str">
        <x:v>표적항암약물허가치료 특약</x:v>
      </x:c>
      <x:c r="P939" s="2" t="str">
        <x:f>IF(O939="선택 안함","선택 안함",IF(O939="특약 없음","특약 없음","가입"))</x:f>
        <x:v>가입</x:v>
      </x:c>
      <x:c r="Q939" s="2" t="str">
        <x:f>IF(P939="가입","가입","미가입")</x:f>
        <x:v>가입</x:v>
      </x:c>
    </x:row>
    <x:row r="940" ht="23" customHeight="1">
      <x:c r="A940" s="2" t="str">
        <x:v>C0845</x:v>
      </x:c>
      <x:c r="B940" s="7" t="n">
        <x:v>62</x:v>
      </x:c>
      <x:c r="C940" s="2" t="str">
        <x:f>INT(B940/10)*10&amp;"대"</x:f>
        <x:v>60대</x:v>
      </x:c>
      <x:c r="D940" s="2" t="str">
        <x:v>여성</x:v>
      </x:c>
      <x:c r="E940" s="7" t="n">
        <x:v>4000</x:v>
      </x:c>
      <x:c r="F940" s="7" t="n">
        <x:v>3</x:v>
      </x:c>
      <x:c r="G940" s="2" t="str">
        <x:v>기혼</x:v>
      </x:c>
      <x:c r="H940" s="7" t="n">
        <x:v>2</x:v>
      </x:c>
      <x:c r="I940" s="2" t="str">
        <x:f>IF(H940&lt;3,H940&amp;"명","3명 이상")</x:f>
        <x:v>2명</x:v>
      </x:c>
      <x:c r="J940" s="2" t="str">
        <x:v>비흡연</x:v>
      </x:c>
      <x:c r="K940" s="2" t="str">
        <x:v>없음</x:v>
      </x:c>
      <x:c r="L940" s="2" t="str">
        <x:v>없음</x:v>
      </x:c>
      <x:c r="M940" s="2" t="str">
        <x:v>수호천사 간편심사(유병자)보험</x:v>
      </x:c>
      <x:c r="N940" s="2" t="str">
        <x:f>VLOOKUP(M940,'분류기준'!$A$5:$B$8,2,FALSE)</x:f>
        <x:v>간편심사보험</x:v>
      </x:c>
      <x:c r="O940" s="2" t="str">
        <x:v>선택 안함</x:v>
      </x:c>
      <x:c r="P940" s="2" t="str">
        <x:f>IF(O940="선택 안함","선택 안함",IF(O940="특약 없음","특약 없음","가입"))</x:f>
        <x:v>선택 안함</x:v>
      </x:c>
      <x:c r="Q940" s="2" t="str">
        <x:f>IF(P940="가입","가입","미가입")</x:f>
        <x:v>미가입</x:v>
      </x:c>
    </x:row>
    <x:row r="941" ht="23" customHeight="1">
      <x:c r="A941" s="2" t="str">
        <x:v>C0868</x:v>
      </x:c>
      <x:c r="B941" s="7" t="n">
        <x:v>62</x:v>
      </x:c>
      <x:c r="C941" s="2" t="str">
        <x:f>INT(B941/10)*10&amp;"대"</x:f>
        <x:v>60대</x:v>
      </x:c>
      <x:c r="D941" s="2" t="str">
        <x:v>남성</x:v>
      </x:c>
      <x:c r="E941" s="7" t="n">
        <x:v>4000</x:v>
      </x:c>
      <x:c r="F941" s="7" t="n">
        <x:v>2</x:v>
      </x:c>
      <x:c r="G941" s="2" t="str">
        <x:v>기혼</x:v>
      </x:c>
      <x:c r="H941" s="7" t="n">
        <x:v>2</x:v>
      </x:c>
      <x:c r="I941" s="2" t="str">
        <x:f>IF(H941&lt;3,H941&amp;"명","3명 이상")</x:f>
        <x:v>2명</x:v>
      </x:c>
      <x:c r="J941" s="2" t="str">
        <x:v>비흡연</x:v>
      </x:c>
      <x:c r="K941" s="2" t="str">
        <x:v>없음</x:v>
      </x:c>
      <x:c r="L941" s="2" t="str">
        <x:v>암</x:v>
      </x:c>
      <x:c r="M941" s="2" t="str">
        <x:v>수호천사 암/건강보험</x:v>
      </x:c>
      <x:c r="N941" s="2" t="str">
        <x:f>VLOOKUP(M941,'분류기준'!$A$5:$B$8,2,FALSE)</x:f>
        <x:v>암/건강보험</x:v>
      </x:c>
      <x:c r="O941" s="2" t="str">
        <x:v>표적항암약물허가치료 특약</x:v>
      </x:c>
      <x:c r="P941" s="2" t="str">
        <x:f>IF(O941="선택 안함","선택 안함",IF(O941="특약 없음","특약 없음","가입"))</x:f>
        <x:v>가입</x:v>
      </x:c>
      <x:c r="Q941" s="2" t="str">
        <x:f>IF(P941="가입","가입","미가입")</x:f>
        <x:v>가입</x:v>
      </x:c>
    </x:row>
    <x:row r="942" ht="23" customHeight="1">
      <x:c r="A942" s="2" t="str">
        <x:v>C0964</x:v>
      </x:c>
      <x:c r="B942" s="7" t="n">
        <x:v>62</x:v>
      </x:c>
      <x:c r="C942" s="2" t="str">
        <x:f>INT(B942/10)*10&amp;"대"</x:f>
        <x:v>60대</x:v>
      </x:c>
      <x:c r="D942" s="2" t="str">
        <x:v>여성</x:v>
      </x:c>
      <x:c r="E942" s="7" t="n">
        <x:v>9000</x:v>
      </x:c>
      <x:c r="F942" s="7" t="n">
        <x:v>3</x:v>
      </x:c>
      <x:c r="G942" s="2" t="str">
        <x:v>기혼</x:v>
      </x:c>
      <x:c r="H942" s="7" t="n">
        <x:v>0</x:v>
      </x:c>
      <x:c r="I942" s="2" t="str">
        <x:f>IF(H942&lt;3,H942&amp;"명","3명 이상")</x:f>
        <x:v>0명</x:v>
      </x:c>
      <x:c r="J942" s="2" t="str">
        <x:v>흡연</x:v>
      </x:c>
      <x:c r="K942" s="2" t="str">
        <x:v>고혈압</x:v>
      </x:c>
      <x:c r="L942" s="2" t="str">
        <x:v>없음</x:v>
      </x:c>
      <x:c r="M942" s="2" t="str">
        <x:v>수호천사 행복 연금보험</x:v>
      </x:c>
      <x:c r="N942" s="2" t="str">
        <x:f>VLOOKUP(M942,'분류기준'!$A$5:$B$8,2,FALSE)</x:f>
        <x:v>연금보험</x:v>
      </x:c>
      <x:c r="O942" s="2" t="str">
        <x:v>특약 없음</x:v>
      </x:c>
      <x:c r="P942" s="2" t="str">
        <x:f>IF(O942="선택 안함","선택 안함",IF(O942="특약 없음","특약 없음","가입"))</x:f>
        <x:v>특약 없음</x:v>
      </x:c>
      <x:c r="Q942" s="2" t="str">
        <x:f>IF(P942="가입","가입","미가입")</x:f>
        <x:v>미가입</x:v>
      </x:c>
    </x:row>
    <x:row r="943" ht="23" customHeight="1">
      <x:c r="A943" s="2" t="str">
        <x:v>C0020</x:v>
      </x:c>
      <x:c r="B943" s="7" t="n">
        <x:v>63</x:v>
      </x:c>
      <x:c r="C943" s="2" t="str">
        <x:f>INT(B943/10)*10&amp;"대"</x:f>
        <x:v>60대</x:v>
      </x:c>
      <x:c r="D943" s="2" t="str">
        <x:v>남성</x:v>
      </x:c>
      <x:c r="E943" s="7" t="n">
        <x:v>12000</x:v>
      </x:c>
      <x:c r="F943" s="7" t="n">
        <x:v>1</x:v>
      </x:c>
      <x:c r="G943" s="2" t="str">
        <x:v>기혼</x:v>
      </x:c>
      <x:c r="H943" s="7" t="n">
        <x:v>0</x:v>
      </x:c>
      <x:c r="I943" s="2" t="str">
        <x:f>IF(H943&lt;3,H943&amp;"명","3명 이상")</x:f>
        <x:v>0명</x:v>
      </x:c>
      <x:c r="J943" s="2" t="str">
        <x:v>흡연</x:v>
      </x:c>
      <x:c r="K943" s="2" t="str">
        <x:v>고혈압</x:v>
      </x:c>
      <x:c r="L943" s="2" t="str">
        <x:v>없음</x:v>
      </x:c>
      <x:c r="M943" s="2" t="str">
        <x:v>수호천사 간편심사(유병자)보험</x:v>
      </x:c>
      <x:c r="N943" s="2" t="str">
        <x:f>VLOOKUP(M943,'분류기준'!$A$5:$B$8,2,FALSE)</x:f>
        <x:v>간편심사보험</x:v>
      </x:c>
      <x:c r="O943" s="2" t="str">
        <x:v>중증질환 산정특례 보장 특약</x:v>
      </x:c>
      <x:c r="P943" s="2" t="str">
        <x:f>IF(O943="선택 안함","선택 안함",IF(O943="특약 없음","특약 없음","가입"))</x:f>
        <x:v>가입</x:v>
      </x:c>
      <x:c r="Q943" s="2" t="str">
        <x:f>IF(P943="가입","가입","미가입")</x:f>
        <x:v>가입</x:v>
      </x:c>
    </x:row>
    <x:row r="944" ht="23" customHeight="1">
      <x:c r="A944" s="2" t="str">
        <x:v>C0028</x:v>
      </x:c>
      <x:c r="B944" s="7" t="n">
        <x:v>63</x:v>
      </x:c>
      <x:c r="C944" s="2" t="str">
        <x:f>INT(B944/10)*10&amp;"대"</x:f>
        <x:v>60대</x:v>
      </x:c>
      <x:c r="D944" s="2" t="str">
        <x:v>남성</x:v>
      </x:c>
      <x:c r="E944" s="7" t="n">
        <x:v>5000</x:v>
      </x:c>
      <x:c r="F944" s="7" t="n">
        <x:v>1</x:v>
      </x:c>
      <x:c r="G944" s="2" t="str">
        <x:v>기혼</x:v>
      </x:c>
      <x:c r="H944" s="7" t="n">
        <x:v>1</x:v>
      </x:c>
      <x:c r="I944" s="2" t="str">
        <x:f>IF(H944&lt;3,H944&amp;"명","3명 이상")</x:f>
        <x:v>1명</x:v>
      </x:c>
      <x:c r="J944" s="2" t="str">
        <x:v>비흡연</x:v>
      </x:c>
      <x:c r="K944" s="2" t="str">
        <x:v>없음</x:v>
      </x:c>
      <x:c r="L944" s="2" t="str">
        <x:v>없음</x:v>
      </x:c>
      <x:c r="M944" s="2" t="str">
        <x:v>수호천사 암/건강보험</x:v>
      </x:c>
      <x:c r="N944" s="2" t="str">
        <x:f>VLOOKUP(M944,'분류기준'!$A$5:$B$8,2,FALSE)</x:f>
        <x:v>암/건강보험</x:v>
      </x:c>
      <x:c r="O944" s="2" t="str">
        <x:v>표적항암약물허가치료 특약</x:v>
      </x:c>
      <x:c r="P944" s="2" t="str">
        <x:f>IF(O944="선택 안함","선택 안함",IF(O944="특약 없음","특약 없음","가입"))</x:f>
        <x:v>가입</x:v>
      </x:c>
      <x:c r="Q944" s="2" t="str">
        <x:f>IF(P944="가입","가입","미가입")</x:f>
        <x:v>가입</x:v>
      </x:c>
    </x:row>
    <x:row r="945" ht="23" customHeight="1">
      <x:c r="A945" s="2" t="str">
        <x:v>C0035</x:v>
      </x:c>
      <x:c r="B945" s="7" t="n">
        <x:v>63</x:v>
      </x:c>
      <x:c r="C945" s="2" t="str">
        <x:f>INT(B945/10)*10&amp;"대"</x:f>
        <x:v>60대</x:v>
      </x:c>
      <x:c r="D945" s="2" t="str">
        <x:v>여성</x:v>
      </x:c>
      <x:c r="E945" s="7" t="n">
        <x:v>4000</x:v>
      </x:c>
      <x:c r="F945" s="7" t="n">
        <x:v>1</x:v>
      </x:c>
      <x:c r="G945" s="2" t="str">
        <x:v>기혼</x:v>
      </x:c>
      <x:c r="H945" s="7" t="n">
        <x:v>2</x:v>
      </x:c>
      <x:c r="I945" s="2" t="str">
        <x:f>IF(H945&lt;3,H945&amp;"명","3명 이상")</x:f>
        <x:v>2명</x:v>
      </x:c>
      <x:c r="J945" s="2" t="str">
        <x:v>비흡연</x:v>
      </x:c>
      <x:c r="K945" s="2" t="str">
        <x:v>고혈압</x:v>
      </x:c>
      <x:c r="L945" s="2" t="str">
        <x:v>심혈관</x:v>
      </x:c>
      <x:c r="M945" s="2" t="str">
        <x:v>수호천사 암/건강보험</x:v>
      </x:c>
      <x:c r="N945" s="2" t="str">
        <x:f>VLOOKUP(M945,'분류기준'!$A$5:$B$8,2,FALSE)</x:f>
        <x:v>암/건강보험</x:v>
      </x:c>
      <x:c r="O945" s="2" t="str">
        <x:v>수술비 보장 특약</x:v>
      </x:c>
      <x:c r="P945" s="2" t="str">
        <x:f>IF(O945="선택 안함","선택 안함",IF(O945="특약 없음","특약 없음","가입"))</x:f>
        <x:v>가입</x:v>
      </x:c>
      <x:c r="Q945" s="2" t="str">
        <x:f>IF(P945="가입","가입","미가입")</x:f>
        <x:v>가입</x:v>
      </x:c>
    </x:row>
    <x:row r="946" ht="23" customHeight="1">
      <x:c r="A946" s="2" t="str">
        <x:v>C0052</x:v>
      </x:c>
      <x:c r="B946" s="7" t="n">
        <x:v>63</x:v>
      </x:c>
      <x:c r="C946" s="2" t="str">
        <x:f>INT(B946/10)*10&amp;"대"</x:f>
        <x:v>60대</x:v>
      </x:c>
      <x:c r="D946" s="2" t="str">
        <x:v>여성</x:v>
      </x:c>
      <x:c r="E946" s="7" t="n">
        <x:v>6000</x:v>
      </x:c>
      <x:c r="F946" s="7" t="n">
        <x:v>1</x:v>
      </x:c>
      <x:c r="G946" s="2" t="str">
        <x:v>기혼</x:v>
      </x:c>
      <x:c r="H946" s="7" t="n">
        <x:v>0</x:v>
      </x:c>
      <x:c r="I946" s="2" t="str">
        <x:f>IF(H946&lt;3,H946&amp;"명","3명 이상")</x:f>
        <x:v>0명</x:v>
      </x:c>
      <x:c r="J946" s="2" t="str">
        <x:v>비흡연</x:v>
      </x:c>
      <x:c r="K946" s="2" t="str">
        <x:v>없음</x:v>
      </x:c>
      <x:c r="L946" s="2" t="str">
        <x:v>심혈관</x:v>
      </x:c>
      <x:c r="M946" s="2" t="str">
        <x:v>수호천사 암/건강보험</x:v>
      </x:c>
      <x:c r="N946" s="2" t="str">
        <x:f>VLOOKUP(M946,'분류기준'!$A$5:$B$8,2,FALSE)</x:f>
        <x:v>암/건강보험</x:v>
      </x:c>
      <x:c r="O946" s="2" t="str">
        <x:v>표적항암약물허가치료 특약</x:v>
      </x:c>
      <x:c r="P946" s="2" t="str">
        <x:f>IF(O946="선택 안함","선택 안함",IF(O946="특약 없음","특약 없음","가입"))</x:f>
        <x:v>가입</x:v>
      </x:c>
      <x:c r="Q946" s="2" t="str">
        <x:f>IF(P946="가입","가입","미가입")</x:f>
        <x:v>가입</x:v>
      </x:c>
    </x:row>
    <x:row r="947" ht="23" customHeight="1">
      <x:c r="A947" s="2" t="str">
        <x:v>C0067</x:v>
      </x:c>
      <x:c r="B947" s="7" t="n">
        <x:v>63</x:v>
      </x:c>
      <x:c r="C947" s="2" t="str">
        <x:f>INT(B947/10)*10&amp;"대"</x:f>
        <x:v>60대</x:v>
      </x:c>
      <x:c r="D947" s="2" t="str">
        <x:v>여성</x:v>
      </x:c>
      <x:c r="E947" s="7" t="n">
        <x:v>7500</x:v>
      </x:c>
      <x:c r="F947" s="7" t="n">
        <x:v>1</x:v>
      </x:c>
      <x:c r="G947" s="2" t="str">
        <x:v>기혼</x:v>
      </x:c>
      <x:c r="H947" s="7" t="n">
        <x:v>1</x:v>
      </x:c>
      <x:c r="I947" s="2" t="str">
        <x:f>IF(H947&lt;3,H947&amp;"명","3명 이상")</x:f>
        <x:v>1명</x:v>
      </x:c>
      <x:c r="J947" s="2" t="str">
        <x:v>흡연</x:v>
      </x:c>
      <x:c r="K947" s="2" t="str">
        <x:v>고혈압</x:v>
      </x:c>
      <x:c r="L947" s="2" t="str">
        <x:v>없음</x:v>
      </x:c>
      <x:c r="M947" s="2" t="str">
        <x:v>수호천사 간편심사(유병자)보험</x:v>
      </x:c>
      <x:c r="N947" s="2" t="str">
        <x:f>VLOOKUP(M947,'분류기준'!$A$5:$B$8,2,FALSE)</x:f>
        <x:v>간편심사보험</x:v>
      </x:c>
      <x:c r="O947" s="2" t="str">
        <x:v>선택 안함</x:v>
      </x:c>
      <x:c r="P947" s="2" t="str">
        <x:f>IF(O947="선택 안함","선택 안함",IF(O947="특약 없음","특약 없음","가입"))</x:f>
        <x:v>선택 안함</x:v>
      </x:c>
      <x:c r="Q947" s="2" t="str">
        <x:f>IF(P947="가입","가입","미가입")</x:f>
        <x:v>미가입</x:v>
      </x:c>
    </x:row>
    <x:row r="948" ht="23" customHeight="1">
      <x:c r="A948" s="2" t="str">
        <x:v>C0096</x:v>
      </x:c>
      <x:c r="B948" s="7" t="n">
        <x:v>63</x:v>
      </x:c>
      <x:c r="C948" s="2" t="str">
        <x:f>INT(B948/10)*10&amp;"대"</x:f>
        <x:v>60대</x:v>
      </x:c>
      <x:c r="D948" s="2" t="str">
        <x:v>여성</x:v>
      </x:c>
      <x:c r="E948" s="7" t="n">
        <x:v>12000</x:v>
      </x:c>
      <x:c r="F948" s="7" t="n">
        <x:v>2</x:v>
      </x:c>
      <x:c r="G948" s="2" t="str">
        <x:v>기혼</x:v>
      </x:c>
      <x:c r="H948" s="7" t="n">
        <x:v>2</x:v>
      </x:c>
      <x:c r="I948" s="2" t="str">
        <x:f>IF(H948&lt;3,H948&amp;"명","3명 이상")</x:f>
        <x:v>2명</x:v>
      </x:c>
      <x:c r="J948" s="2" t="str">
        <x:v>흡연</x:v>
      </x:c>
      <x:c r="K948" s="2" t="str">
        <x:v>고혈압</x:v>
      </x:c>
      <x:c r="L948" s="2" t="str">
        <x:v>없음</x:v>
      </x:c>
      <x:c r="M948" s="2" t="str">
        <x:v>수호천사 간편심사(유병자)보험</x:v>
      </x:c>
      <x:c r="N948" s="2" t="str">
        <x:f>VLOOKUP(M948,'분류기준'!$A$5:$B$8,2,FALSE)</x:f>
        <x:v>간편심사보험</x:v>
      </x:c>
      <x:c r="O948" s="2" t="str">
        <x:v>중증질환 산정특례 보장 특약</x:v>
      </x:c>
      <x:c r="P948" s="2" t="str">
        <x:f>IF(O948="선택 안함","선택 안함",IF(O948="특약 없음","특약 없음","가입"))</x:f>
        <x:v>가입</x:v>
      </x:c>
      <x:c r="Q948" s="2" t="str">
        <x:f>IF(P948="가입","가입","미가입")</x:f>
        <x:v>가입</x:v>
      </x:c>
    </x:row>
    <x:row r="949" ht="23" customHeight="1">
      <x:c r="A949" s="2" t="str">
        <x:v>C0120</x:v>
      </x:c>
      <x:c r="B949" s="7" t="n">
        <x:v>63</x:v>
      </x:c>
      <x:c r="C949" s="2" t="str">
        <x:f>INT(B949/10)*10&amp;"대"</x:f>
        <x:v>60대</x:v>
      </x:c>
      <x:c r="D949" s="2" t="str">
        <x:v>여성</x:v>
      </x:c>
      <x:c r="E949" s="7" t="n">
        <x:v>4000</x:v>
      </x:c>
      <x:c r="F949" s="7" t="n">
        <x:v>1</x:v>
      </x:c>
      <x:c r="G949" s="2" t="str">
        <x:v>기혼</x:v>
      </x:c>
      <x:c r="H949" s="7" t="n">
        <x:v>0</x:v>
      </x:c>
      <x:c r="I949" s="2" t="str">
        <x:f>IF(H949&lt;3,H949&amp;"명","3명 이상")</x:f>
        <x:v>0명</x:v>
      </x:c>
      <x:c r="J949" s="2" t="str">
        <x:v>비흡연</x:v>
      </x:c>
      <x:c r="K949" s="2" t="str">
        <x:v>고혈압</x:v>
      </x:c>
      <x:c r="L949" s="2" t="str">
        <x:v>없음</x:v>
      </x:c>
      <x:c r="M949" s="2" t="str">
        <x:v>수호천사 행복 연금보험</x:v>
      </x:c>
      <x:c r="N949" s="2" t="str">
        <x:f>VLOOKUP(M949,'분류기준'!$A$5:$B$8,2,FALSE)</x:f>
        <x:v>연금보험</x:v>
      </x:c>
      <x:c r="O949" s="2" t="str">
        <x:v>특약 없음</x:v>
      </x:c>
      <x:c r="P949" s="2" t="str">
        <x:f>IF(O949="선택 안함","선택 안함",IF(O949="특약 없음","특약 없음","가입"))</x:f>
        <x:v>특약 없음</x:v>
      </x:c>
      <x:c r="Q949" s="2" t="str">
        <x:f>IF(P949="가입","가입","미가입")</x:f>
        <x:v>미가입</x:v>
      </x:c>
    </x:row>
    <x:row r="950" ht="23" customHeight="1">
      <x:c r="A950" s="2" t="str">
        <x:v>C0166</x:v>
      </x:c>
      <x:c r="B950" s="7" t="n">
        <x:v>63</x:v>
      </x:c>
      <x:c r="C950" s="2" t="str">
        <x:f>INT(B950/10)*10&amp;"대"</x:f>
        <x:v>60대</x:v>
      </x:c>
      <x:c r="D950" s="2" t="str">
        <x:v>여성</x:v>
      </x:c>
      <x:c r="E950" s="7" t="n">
        <x:v>7500</x:v>
      </x:c>
      <x:c r="F950" s="7" t="n">
        <x:v>2</x:v>
      </x:c>
      <x:c r="G950" s="2" t="str">
        <x:v>기혼</x:v>
      </x:c>
      <x:c r="H950" s="7" t="n">
        <x:v>1</x:v>
      </x:c>
      <x:c r="I950" s="2" t="str">
        <x:f>IF(H950&lt;3,H950&amp;"명","3명 이상")</x:f>
        <x:v>1명</x:v>
      </x:c>
      <x:c r="J950" s="2" t="str">
        <x:v>비흡연</x:v>
      </x:c>
      <x:c r="K950" s="2" t="str">
        <x:v>고혈압</x:v>
      </x:c>
      <x:c r="L950" s="2" t="str">
        <x:v>없음</x:v>
      </x:c>
      <x:c r="M950" s="2" t="str">
        <x:v>수호천사 우리가족 종신보험</x:v>
      </x:c>
      <x:c r="N950" s="2" t="str">
        <x:f>VLOOKUP(M950,'분류기준'!$A$5:$B$8,2,FALSE)</x:f>
        <x:v>종신보험</x:v>
      </x:c>
      <x:c r="O950" s="2" t="str">
        <x:v>가족 수입 보장 특약</x:v>
      </x:c>
      <x:c r="P950" s="2" t="str">
        <x:f>IF(O950="선택 안함","선택 안함",IF(O950="특약 없음","특약 없음","가입"))</x:f>
        <x:v>가입</x:v>
      </x:c>
      <x:c r="Q950" s="2" t="str">
        <x:f>IF(P950="가입","가입","미가입")</x:f>
        <x:v>가입</x:v>
      </x:c>
    </x:row>
    <x:row r="951" ht="23" customHeight="1">
      <x:c r="A951" s="2" t="str">
        <x:v>C0167</x:v>
      </x:c>
      <x:c r="B951" s="7" t="n">
        <x:v>63</x:v>
      </x:c>
      <x:c r="C951" s="2" t="str">
        <x:f>INT(B951/10)*10&amp;"대"</x:f>
        <x:v>60대</x:v>
      </x:c>
      <x:c r="D951" s="2" t="str">
        <x:v>여성</x:v>
      </x:c>
      <x:c r="E951" s="7" t="n">
        <x:v>4000</x:v>
      </x:c>
      <x:c r="F951" s="7" t="n">
        <x:v>1</x:v>
      </x:c>
      <x:c r="G951" s="2" t="str">
        <x:v>기혼</x:v>
      </x:c>
      <x:c r="H951" s="7" t="n">
        <x:v>1</x:v>
      </x:c>
      <x:c r="I951" s="2" t="str">
        <x:f>IF(H951&lt;3,H951&amp;"명","3명 이상")</x:f>
        <x:v>1명</x:v>
      </x:c>
      <x:c r="J951" s="2" t="str">
        <x:v>흡연</x:v>
      </x:c>
      <x:c r="K951" s="2" t="str">
        <x:v>당뇨</x:v>
      </x:c>
      <x:c r="L951" s="2" t="str">
        <x:v>없음</x:v>
      </x:c>
      <x:c r="M951" s="2" t="str">
        <x:v>수호천사 간편심사(유병자)보험</x:v>
      </x:c>
      <x:c r="N951" s="2" t="str">
        <x:f>VLOOKUP(M951,'분류기준'!$A$5:$B$8,2,FALSE)</x:f>
        <x:v>간편심사보험</x:v>
      </x:c>
      <x:c r="O951" s="2" t="str">
        <x:v>중증질환 산정특례 보장 특약</x:v>
      </x:c>
      <x:c r="P951" s="2" t="str">
        <x:f>IF(O951="선택 안함","선택 안함",IF(O951="특약 없음","특약 없음","가입"))</x:f>
        <x:v>가입</x:v>
      </x:c>
      <x:c r="Q951" s="2" t="str">
        <x:f>IF(P951="가입","가입","미가입")</x:f>
        <x:v>가입</x:v>
      </x:c>
    </x:row>
    <x:row r="952" ht="23" customHeight="1">
      <x:c r="A952" s="2" t="str">
        <x:v>C0188</x:v>
      </x:c>
      <x:c r="B952" s="7" t="n">
        <x:v>63</x:v>
      </x:c>
      <x:c r="C952" s="2" t="str">
        <x:f>INT(B952/10)*10&amp;"대"</x:f>
        <x:v>60대</x:v>
      </x:c>
      <x:c r="D952" s="2" t="str">
        <x:v>남성</x:v>
      </x:c>
      <x:c r="E952" s="7" t="n">
        <x:v>5000</x:v>
      </x:c>
      <x:c r="F952" s="7" t="n">
        <x:v>2</x:v>
      </x:c>
      <x:c r="G952" s="2" t="str">
        <x:v>기혼</x:v>
      </x:c>
      <x:c r="H952" s="7" t="n">
        <x:v>0</x:v>
      </x:c>
      <x:c r="I952" s="2" t="str">
        <x:f>IF(H952&lt;3,H952&amp;"명","3명 이상")</x:f>
        <x:v>0명</x:v>
      </x:c>
      <x:c r="J952" s="2" t="str">
        <x:v>흡연</x:v>
      </x:c>
      <x:c r="K952" s="2" t="str">
        <x:v>없음</x:v>
      </x:c>
      <x:c r="L952" s="2" t="str">
        <x:v>암</x:v>
      </x:c>
      <x:c r="M952" s="2" t="str">
        <x:v>수호천사 행복 연금보험</x:v>
      </x:c>
      <x:c r="N952" s="2" t="str">
        <x:f>VLOOKUP(M952,'분류기준'!$A$5:$B$8,2,FALSE)</x:f>
        <x:v>연금보험</x:v>
      </x:c>
      <x:c r="O952" s="2" t="str">
        <x:v>특약 없음</x:v>
      </x:c>
      <x:c r="P952" s="2" t="str">
        <x:f>IF(O952="선택 안함","선택 안함",IF(O952="특약 없음","특약 없음","가입"))</x:f>
        <x:v>특약 없음</x:v>
      </x:c>
      <x:c r="Q952" s="2" t="str">
        <x:f>IF(P952="가입","가입","미가입")</x:f>
        <x:v>미가입</x:v>
      </x:c>
    </x:row>
    <x:row r="953" ht="23" customHeight="1">
      <x:c r="A953" s="2" t="str">
        <x:v>C0211</x:v>
      </x:c>
      <x:c r="B953" s="7" t="n">
        <x:v>63</x:v>
      </x:c>
      <x:c r="C953" s="2" t="str">
        <x:f>INT(B953/10)*10&amp;"대"</x:f>
        <x:v>60대</x:v>
      </x:c>
      <x:c r="D953" s="2" t="str">
        <x:v>여성</x:v>
      </x:c>
      <x:c r="E953" s="7" t="n">
        <x:v>5000</x:v>
      </x:c>
      <x:c r="F953" s="7" t="n">
        <x:v>2</x:v>
      </x:c>
      <x:c r="G953" s="2" t="str">
        <x:v>기혼</x:v>
      </x:c>
      <x:c r="H953" s="7" t="n">
        <x:v>0</x:v>
      </x:c>
      <x:c r="I953" s="2" t="str">
        <x:f>IF(H953&lt;3,H953&amp;"명","3명 이상")</x:f>
        <x:v>0명</x:v>
      </x:c>
      <x:c r="J953" s="2" t="str">
        <x:v>흡연</x:v>
      </x:c>
      <x:c r="K953" s="2" t="str">
        <x:v>없음</x:v>
      </x:c>
      <x:c r="L953" s="2" t="str">
        <x:v>없음</x:v>
      </x:c>
      <x:c r="M953" s="2" t="str">
        <x:v>수호천사 행복 연금보험</x:v>
      </x:c>
      <x:c r="N953" s="2" t="str">
        <x:f>VLOOKUP(M953,'분류기준'!$A$5:$B$8,2,FALSE)</x:f>
        <x:v>연금보험</x:v>
      </x:c>
      <x:c r="O953" s="2" t="str">
        <x:v>특약 없음</x:v>
      </x:c>
      <x:c r="P953" s="2" t="str">
        <x:f>IF(O953="선택 안함","선택 안함",IF(O953="특약 없음","특약 없음","가입"))</x:f>
        <x:v>특약 없음</x:v>
      </x:c>
      <x:c r="Q953" s="2" t="str">
        <x:f>IF(P953="가입","가입","미가입")</x:f>
        <x:v>미가입</x:v>
      </x:c>
    </x:row>
    <x:row r="954" ht="23" customHeight="1">
      <x:c r="A954" s="2" t="str">
        <x:v>C0328</x:v>
      </x:c>
      <x:c r="B954" s="7" t="n">
        <x:v>63</x:v>
      </x:c>
      <x:c r="C954" s="2" t="str">
        <x:f>INT(B954/10)*10&amp;"대"</x:f>
        <x:v>60대</x:v>
      </x:c>
      <x:c r="D954" s="2" t="str">
        <x:v>남성</x:v>
      </x:c>
      <x:c r="E954" s="7" t="n">
        <x:v>7500</x:v>
      </x:c>
      <x:c r="F954" s="7" t="n">
        <x:v>1</x:v>
      </x:c>
      <x:c r="G954" s="2" t="str">
        <x:v>기혼</x:v>
      </x:c>
      <x:c r="H954" s="7" t="n">
        <x:v>1</x:v>
      </x:c>
      <x:c r="I954" s="2" t="str">
        <x:f>IF(H954&lt;3,H954&amp;"명","3명 이상")</x:f>
        <x:v>1명</x:v>
      </x:c>
      <x:c r="J954" s="2" t="str">
        <x:v>비흡연</x:v>
      </x:c>
      <x:c r="K954" s="2" t="str">
        <x:v>고혈압</x:v>
      </x:c>
      <x:c r="L954" s="2" t="str">
        <x:v>없음</x:v>
      </x:c>
      <x:c r="M954" s="2" t="str">
        <x:v>수호천사 간편심사(유병자)보험</x:v>
      </x:c>
      <x:c r="N954" s="2" t="str">
        <x:f>VLOOKUP(M954,'분류기준'!$A$5:$B$8,2,FALSE)</x:f>
        <x:v>간편심사보험</x:v>
      </x:c>
      <x:c r="O954" s="2" t="str">
        <x:v>중증질환 산정특례 보장 특약</x:v>
      </x:c>
      <x:c r="P954" s="2" t="str">
        <x:f>IF(O954="선택 안함","선택 안함",IF(O954="특약 없음","특약 없음","가입"))</x:f>
        <x:v>가입</x:v>
      </x:c>
      <x:c r="Q954" s="2" t="str">
        <x:f>IF(P954="가입","가입","미가입")</x:f>
        <x:v>가입</x:v>
      </x:c>
    </x:row>
    <x:row r="955" ht="23" customHeight="1">
      <x:c r="A955" s="2" t="str">
        <x:v>C0405</x:v>
      </x:c>
      <x:c r="B955" s="7" t="n">
        <x:v>63</x:v>
      </x:c>
      <x:c r="C955" s="2" t="str">
        <x:f>INT(B955/10)*10&amp;"대"</x:f>
        <x:v>60대</x:v>
      </x:c>
      <x:c r="D955" s="2" t="str">
        <x:v>남성</x:v>
      </x:c>
      <x:c r="E955" s="7" t="n">
        <x:v>12000</x:v>
      </x:c>
      <x:c r="F955" s="7" t="n">
        <x:v>1</x:v>
      </x:c>
      <x:c r="G955" s="2" t="str">
        <x:v>기혼</x:v>
      </x:c>
      <x:c r="H955" s="7" t="n">
        <x:v>1</x:v>
      </x:c>
      <x:c r="I955" s="2" t="str">
        <x:f>IF(H955&lt;3,H955&amp;"명","3명 이상")</x:f>
        <x:v>1명</x:v>
      </x:c>
      <x:c r="J955" s="2" t="str">
        <x:v>비흡연</x:v>
      </x:c>
      <x:c r="K955" s="2" t="str">
        <x:v>없음</x:v>
      </x:c>
      <x:c r="L955" s="2" t="str">
        <x:v>없음</x:v>
      </x:c>
      <x:c r="M955" s="2" t="str">
        <x:v>수호천사 간편심사(유병자)보험</x:v>
      </x:c>
      <x:c r="N955" s="2" t="str">
        <x:f>VLOOKUP(M955,'분류기준'!$A$5:$B$8,2,FALSE)</x:f>
        <x:v>간편심사보험</x:v>
      </x:c>
      <x:c r="O955" s="2" t="str">
        <x:v>중증질환 산정특례 보장 특약</x:v>
      </x:c>
      <x:c r="P955" s="2" t="str">
        <x:f>IF(O955="선택 안함","선택 안함",IF(O955="특약 없음","특약 없음","가입"))</x:f>
        <x:v>가입</x:v>
      </x:c>
      <x:c r="Q955" s="2" t="str">
        <x:f>IF(P955="가입","가입","미가입")</x:f>
        <x:v>가입</x:v>
      </x:c>
    </x:row>
    <x:row r="956" ht="23" customHeight="1">
      <x:c r="A956" s="2" t="str">
        <x:v>C0406</x:v>
      </x:c>
      <x:c r="B956" s="7" t="n">
        <x:v>63</x:v>
      </x:c>
      <x:c r="C956" s="2" t="str">
        <x:f>INT(B956/10)*10&amp;"대"</x:f>
        <x:v>60대</x:v>
      </x:c>
      <x:c r="D956" s="2" t="str">
        <x:v>남성</x:v>
      </x:c>
      <x:c r="E956" s="7" t="n">
        <x:v>12000</x:v>
      </x:c>
      <x:c r="F956" s="7" t="n">
        <x:v>1</x:v>
      </x:c>
      <x:c r="G956" s="2" t="str">
        <x:v>기혼</x:v>
      </x:c>
      <x:c r="H956" s="7" t="n">
        <x:v>0</x:v>
      </x:c>
      <x:c r="I956" s="2" t="str">
        <x:f>IF(H956&lt;3,H956&amp;"명","3명 이상")</x:f>
        <x:v>0명</x:v>
      </x:c>
      <x:c r="J956" s="2" t="str">
        <x:v>비흡연</x:v>
      </x:c>
      <x:c r="K956" s="2" t="str">
        <x:v>당뇨</x:v>
      </x:c>
      <x:c r="L956" s="2" t="str">
        <x:v>없음</x:v>
      </x:c>
      <x:c r="M956" s="2" t="str">
        <x:v>수호천사 행복 연금보험</x:v>
      </x:c>
      <x:c r="N956" s="2" t="str">
        <x:f>VLOOKUP(M956,'분류기준'!$A$5:$B$8,2,FALSE)</x:f>
        <x:v>연금보험</x:v>
      </x:c>
      <x:c r="O956" s="2" t="str">
        <x:v>특약 없음</x:v>
      </x:c>
      <x:c r="P956" s="2" t="str">
        <x:f>IF(O956="선택 안함","선택 안함",IF(O956="특약 없음","특약 없음","가입"))</x:f>
        <x:v>특약 없음</x:v>
      </x:c>
      <x:c r="Q956" s="2" t="str">
        <x:f>IF(P956="가입","가입","미가입")</x:f>
        <x:v>미가입</x:v>
      </x:c>
    </x:row>
    <x:row r="957" ht="23" customHeight="1">
      <x:c r="A957" s="2" t="str">
        <x:v>C0501</x:v>
      </x:c>
      <x:c r="B957" s="7" t="n">
        <x:v>63</x:v>
      </x:c>
      <x:c r="C957" s="2" t="str">
        <x:f>INT(B957/10)*10&amp;"대"</x:f>
        <x:v>60대</x:v>
      </x:c>
      <x:c r="D957" s="2" t="str">
        <x:v>여성</x:v>
      </x:c>
      <x:c r="E957" s="7" t="n">
        <x:v>3000</x:v>
      </x:c>
      <x:c r="F957" s="7" t="n">
        <x:v>1</x:v>
      </x:c>
      <x:c r="G957" s="2" t="str">
        <x:v>기혼</x:v>
      </x:c>
      <x:c r="H957" s="7" t="n">
        <x:v>1</x:v>
      </x:c>
      <x:c r="I957" s="2" t="str">
        <x:f>IF(H957&lt;3,H957&amp;"명","3명 이상")</x:f>
        <x:v>1명</x:v>
      </x:c>
      <x:c r="J957" s="2" t="str">
        <x:v>비흡연</x:v>
      </x:c>
      <x:c r="K957" s="2" t="str">
        <x:v>없음</x:v>
      </x:c>
      <x:c r="L957" s="2" t="str">
        <x:v>없음</x:v>
      </x:c>
      <x:c r="M957" s="2" t="str">
        <x:v>수호천사 우리가족 종신보험</x:v>
      </x:c>
      <x:c r="N957" s="2" t="str">
        <x:f>VLOOKUP(M957,'분류기준'!$A$5:$B$8,2,FALSE)</x:f>
        <x:v>종신보험</x:v>
      </x:c>
      <x:c r="O957" s="2" t="str">
        <x:v>가족 수입 보장 특약</x:v>
      </x:c>
      <x:c r="P957" s="2" t="str">
        <x:f>IF(O957="선택 안함","선택 안함",IF(O957="특약 없음","특약 없음","가입"))</x:f>
        <x:v>가입</x:v>
      </x:c>
      <x:c r="Q957" s="2" t="str">
        <x:f>IF(P957="가입","가입","미가입")</x:f>
        <x:v>가입</x:v>
      </x:c>
    </x:row>
    <x:row r="958" ht="23" customHeight="1">
      <x:c r="A958" s="2" t="str">
        <x:v>C0591</x:v>
      </x:c>
      <x:c r="B958" s="7" t="n">
        <x:v>63</x:v>
      </x:c>
      <x:c r="C958" s="2" t="str">
        <x:f>INT(B958/10)*10&amp;"대"</x:f>
        <x:v>60대</x:v>
      </x:c>
      <x:c r="D958" s="2" t="str">
        <x:v>여성</x:v>
      </x:c>
      <x:c r="E958" s="7" t="n">
        <x:v>3000</x:v>
      </x:c>
      <x:c r="F958" s="7" t="n">
        <x:v>1</x:v>
      </x:c>
      <x:c r="G958" s="2" t="str">
        <x:v>기혼</x:v>
      </x:c>
      <x:c r="H958" s="7" t="n">
        <x:v>1</x:v>
      </x:c>
      <x:c r="I958" s="2" t="str">
        <x:f>IF(H958&lt;3,H958&amp;"명","3명 이상")</x:f>
        <x:v>1명</x:v>
      </x:c>
      <x:c r="J958" s="2" t="str">
        <x:v>비흡연</x:v>
      </x:c>
      <x:c r="K958" s="2" t="str">
        <x:v>고혈압</x:v>
      </x:c>
      <x:c r="L958" s="2" t="str">
        <x:v>없음</x:v>
      </x:c>
      <x:c r="M958" s="2" t="str">
        <x:v>수호천사 간편심사(유병자)보험</x:v>
      </x:c>
      <x:c r="N958" s="2" t="str">
        <x:f>VLOOKUP(M958,'분류기준'!$A$5:$B$8,2,FALSE)</x:f>
        <x:v>간편심사보험</x:v>
      </x:c>
      <x:c r="O958" s="2" t="str">
        <x:v>중증질환 산정특례 보장 특약</x:v>
      </x:c>
      <x:c r="P958" s="2" t="str">
        <x:f>IF(O958="선택 안함","선택 안함",IF(O958="특약 없음","특약 없음","가입"))</x:f>
        <x:v>가입</x:v>
      </x:c>
      <x:c r="Q958" s="2" t="str">
        <x:f>IF(P958="가입","가입","미가입")</x:f>
        <x:v>가입</x:v>
      </x:c>
    </x:row>
    <x:row r="959" ht="23" customHeight="1">
      <x:c r="A959" s="2" t="str">
        <x:v>C0620</x:v>
      </x:c>
      <x:c r="B959" s="7" t="n">
        <x:v>63</x:v>
      </x:c>
      <x:c r="C959" s="2" t="str">
        <x:f>INT(B959/10)*10&amp;"대"</x:f>
        <x:v>60대</x:v>
      </x:c>
      <x:c r="D959" s="2" t="str">
        <x:v>여성</x:v>
      </x:c>
      <x:c r="E959" s="7" t="n">
        <x:v>4000</x:v>
      </x:c>
      <x:c r="F959" s="7" t="n">
        <x:v>2</x:v>
      </x:c>
      <x:c r="G959" s="2" t="str">
        <x:v>기혼</x:v>
      </x:c>
      <x:c r="H959" s="7" t="n">
        <x:v>1</x:v>
      </x:c>
      <x:c r="I959" s="2" t="str">
        <x:f>IF(H959&lt;3,H959&amp;"명","3명 이상")</x:f>
        <x:v>1명</x:v>
      </x:c>
      <x:c r="J959" s="2" t="str">
        <x:v>비흡연</x:v>
      </x:c>
      <x:c r="K959" s="2" t="str">
        <x:v>없음</x:v>
      </x:c>
      <x:c r="L959" s="2" t="str">
        <x:v>없음</x:v>
      </x:c>
      <x:c r="M959" s="2" t="str">
        <x:v>수호천사 간편심사(유병자)보험</x:v>
      </x:c>
      <x:c r="N959" s="2" t="str">
        <x:f>VLOOKUP(M959,'분류기준'!$A$5:$B$8,2,FALSE)</x:f>
        <x:v>간편심사보험</x:v>
      </x:c>
      <x:c r="O959" s="2" t="str">
        <x:v>선택 안함</x:v>
      </x:c>
      <x:c r="P959" s="2" t="str">
        <x:f>IF(O959="선택 안함","선택 안함",IF(O959="특약 없음","특약 없음","가입"))</x:f>
        <x:v>선택 안함</x:v>
      </x:c>
      <x:c r="Q959" s="2" t="str">
        <x:f>IF(P959="가입","가입","미가입")</x:f>
        <x:v>미가입</x:v>
      </x:c>
    </x:row>
    <x:row r="960" ht="23" customHeight="1">
      <x:c r="A960" s="2" t="str">
        <x:v>C0644</x:v>
      </x:c>
      <x:c r="B960" s="7" t="n">
        <x:v>63</x:v>
      </x:c>
      <x:c r="C960" s="2" t="str">
        <x:f>INT(B960/10)*10&amp;"대"</x:f>
        <x:v>60대</x:v>
      </x:c>
      <x:c r="D960" s="2" t="str">
        <x:v>남성</x:v>
      </x:c>
      <x:c r="E960" s="7" t="n">
        <x:v>7500</x:v>
      </x:c>
      <x:c r="F960" s="7" t="n">
        <x:v>1</x:v>
      </x:c>
      <x:c r="G960" s="2" t="str">
        <x:v>미혼</x:v>
      </x:c>
      <x:c r="H960" s="7" t="n">
        <x:v>0</x:v>
      </x:c>
      <x:c r="I960" s="2" t="str">
        <x:f>IF(H960&lt;3,H960&amp;"명","3명 이상")</x:f>
        <x:v>0명</x:v>
      </x:c>
      <x:c r="J960" s="2" t="str">
        <x:v>비흡연</x:v>
      </x:c>
      <x:c r="K960" s="2" t="str">
        <x:v>없음</x:v>
      </x:c>
      <x:c r="L960" s="2" t="str">
        <x:v>없음</x:v>
      </x:c>
      <x:c r="M960" s="2" t="str">
        <x:v>수호천사 행복 연금보험</x:v>
      </x:c>
      <x:c r="N960" s="2" t="str">
        <x:f>VLOOKUP(M960,'분류기준'!$A$5:$B$8,2,FALSE)</x:f>
        <x:v>연금보험</x:v>
      </x:c>
      <x:c r="O960" s="2" t="str">
        <x:v>특약 없음</x:v>
      </x:c>
      <x:c r="P960" s="2" t="str">
        <x:f>IF(O960="선택 안함","선택 안함",IF(O960="특약 없음","특약 없음","가입"))</x:f>
        <x:v>특약 없음</x:v>
      </x:c>
      <x:c r="Q960" s="2" t="str">
        <x:f>IF(P960="가입","가입","미가입")</x:f>
        <x:v>미가입</x:v>
      </x:c>
    </x:row>
    <x:row r="961" ht="23" customHeight="1">
      <x:c r="A961" s="2" t="str">
        <x:v>C0759</x:v>
      </x:c>
      <x:c r="B961" s="7" t="n">
        <x:v>63</x:v>
      </x:c>
      <x:c r="C961" s="2" t="str">
        <x:f>INT(B961/10)*10&amp;"대"</x:f>
        <x:v>60대</x:v>
      </x:c>
      <x:c r="D961" s="2" t="str">
        <x:v>남성</x:v>
      </x:c>
      <x:c r="E961" s="7" t="n">
        <x:v>3000</x:v>
      </x:c>
      <x:c r="F961" s="7" t="n">
        <x:v>2</x:v>
      </x:c>
      <x:c r="G961" s="2" t="str">
        <x:v>기혼</x:v>
      </x:c>
      <x:c r="H961" s="7" t="n">
        <x:v>2</x:v>
      </x:c>
      <x:c r="I961" s="2" t="str">
        <x:f>IF(H961&lt;3,H961&amp;"명","3명 이상")</x:f>
        <x:v>2명</x:v>
      </x:c>
      <x:c r="J961" s="2" t="str">
        <x:v>흡연</x:v>
      </x:c>
      <x:c r="K961" s="2" t="str">
        <x:v>고혈압</x:v>
      </x:c>
      <x:c r="L961" s="2" t="str">
        <x:v>암</x:v>
      </x:c>
      <x:c r="M961" s="2" t="str">
        <x:v>수호천사 행복 연금보험</x:v>
      </x:c>
      <x:c r="N961" s="2" t="str">
        <x:f>VLOOKUP(M961,'분류기준'!$A$5:$B$8,2,FALSE)</x:f>
        <x:v>연금보험</x:v>
      </x:c>
      <x:c r="O961" s="2" t="str">
        <x:v>특약 없음</x:v>
      </x:c>
      <x:c r="P961" s="2" t="str">
        <x:f>IF(O961="선택 안함","선택 안함",IF(O961="특약 없음","특약 없음","가입"))</x:f>
        <x:v>특약 없음</x:v>
      </x:c>
      <x:c r="Q961" s="2" t="str">
        <x:f>IF(P961="가입","가입","미가입")</x:f>
        <x:v>미가입</x:v>
      </x:c>
    </x:row>
    <x:row r="962" ht="23" customHeight="1">
      <x:c r="A962" s="2" t="str">
        <x:v>C0883</x:v>
      </x:c>
      <x:c r="B962" s="7" t="n">
        <x:v>63</x:v>
      </x:c>
      <x:c r="C962" s="2" t="str">
        <x:f>INT(B962/10)*10&amp;"대"</x:f>
        <x:v>60대</x:v>
      </x:c>
      <x:c r="D962" s="2" t="str">
        <x:v>여성</x:v>
      </x:c>
      <x:c r="E962" s="7" t="n">
        <x:v>6000</x:v>
      </x:c>
      <x:c r="F962" s="7" t="n">
        <x:v>1</x:v>
      </x:c>
      <x:c r="G962" s="2" t="str">
        <x:v>기혼</x:v>
      </x:c>
      <x:c r="H962" s="7" t="n">
        <x:v>1</x:v>
      </x:c>
      <x:c r="I962" s="2" t="str">
        <x:f>IF(H962&lt;3,H962&amp;"명","3명 이상")</x:f>
        <x:v>1명</x:v>
      </x:c>
      <x:c r="J962" s="2" t="str">
        <x:v>흡연</x:v>
      </x:c>
      <x:c r="K962" s="2" t="str">
        <x:v>당뇨</x:v>
      </x:c>
      <x:c r="L962" s="2" t="str">
        <x:v>없음</x:v>
      </x:c>
      <x:c r="M962" s="2" t="str">
        <x:v>수호천사 간편심사(유병자)보험</x:v>
      </x:c>
      <x:c r="N962" s="2" t="str">
        <x:f>VLOOKUP(M962,'분류기준'!$A$5:$B$8,2,FALSE)</x:f>
        <x:v>간편심사보험</x:v>
      </x:c>
      <x:c r="O962" s="2" t="str">
        <x:v>중증질환 산정특례 보장 특약</x:v>
      </x:c>
      <x:c r="P962" s="2" t="str">
        <x:f>IF(O962="선택 안함","선택 안함",IF(O962="특약 없음","특약 없음","가입"))</x:f>
        <x:v>가입</x:v>
      </x:c>
      <x:c r="Q962" s="2" t="str">
        <x:f>IF(P962="가입","가입","미가입")</x:f>
        <x:v>가입</x:v>
      </x:c>
    </x:row>
    <x:row r="963" ht="23" customHeight="1">
      <x:c r="A963" s="2" t="str">
        <x:v>C0900</x:v>
      </x:c>
      <x:c r="B963" s="7" t="n">
        <x:v>63</x:v>
      </x:c>
      <x:c r="C963" s="2" t="str">
        <x:f>INT(B963/10)*10&amp;"대"</x:f>
        <x:v>60대</x:v>
      </x:c>
      <x:c r="D963" s="2" t="str">
        <x:v>남성</x:v>
      </x:c>
      <x:c r="E963" s="7" t="n">
        <x:v>4000</x:v>
      </x:c>
      <x:c r="F963" s="7" t="n">
        <x:v>1</x:v>
      </x:c>
      <x:c r="G963" s="2" t="str">
        <x:v>기혼</x:v>
      </x:c>
      <x:c r="H963" s="7" t="n">
        <x:v>0</x:v>
      </x:c>
      <x:c r="I963" s="2" t="str">
        <x:f>IF(H963&lt;3,H963&amp;"명","3명 이상")</x:f>
        <x:v>0명</x:v>
      </x:c>
      <x:c r="J963" s="2" t="str">
        <x:v>비흡연</x:v>
      </x:c>
      <x:c r="K963" s="2" t="str">
        <x:v>없음</x:v>
      </x:c>
      <x:c r="L963" s="2" t="str">
        <x:v>심혈관</x:v>
      </x:c>
      <x:c r="M963" s="2" t="str">
        <x:v>수호천사 암/건강보험</x:v>
      </x:c>
      <x:c r="N963" s="2" t="str">
        <x:f>VLOOKUP(M963,'분류기준'!$A$5:$B$8,2,FALSE)</x:f>
        <x:v>암/건강보험</x:v>
      </x:c>
      <x:c r="O963" s="2" t="str">
        <x:v>선택 안함</x:v>
      </x:c>
      <x:c r="P963" s="2" t="str">
        <x:f>IF(O963="선택 안함","선택 안함",IF(O963="특약 없음","특약 없음","가입"))</x:f>
        <x:v>선택 안함</x:v>
      </x:c>
      <x:c r="Q963" s="2" t="str">
        <x:f>IF(P963="가입","가입","미가입")</x:f>
        <x:v>미가입</x:v>
      </x:c>
    </x:row>
    <x:row r="964" ht="23" customHeight="1">
      <x:c r="A964" s="2" t="str">
        <x:v>C0946</x:v>
      </x:c>
      <x:c r="B964" s="7" t="n">
        <x:v>63</x:v>
      </x:c>
      <x:c r="C964" s="2" t="str">
        <x:f>INT(B964/10)*10&amp;"대"</x:f>
        <x:v>60대</x:v>
      </x:c>
      <x:c r="D964" s="2" t="str">
        <x:v>여성</x:v>
      </x:c>
      <x:c r="E964" s="7" t="n">
        <x:v>6000</x:v>
      </x:c>
      <x:c r="F964" s="7" t="n">
        <x:v>2</x:v>
      </x:c>
      <x:c r="G964" s="2" t="str">
        <x:v>기혼</x:v>
      </x:c>
      <x:c r="H964" s="7" t="n">
        <x:v>1</x:v>
      </x:c>
      <x:c r="I964" s="2" t="str">
        <x:f>IF(H964&lt;3,H964&amp;"명","3명 이상")</x:f>
        <x:v>1명</x:v>
      </x:c>
      <x:c r="J964" s="2" t="str">
        <x:v>비흡연</x:v>
      </x:c>
      <x:c r="K964" s="2" t="str">
        <x:v>고혈압</x:v>
      </x:c>
      <x:c r="L964" s="2" t="str">
        <x:v>없음</x:v>
      </x:c>
      <x:c r="M964" s="2" t="str">
        <x:v>수호천사 간편심사(유병자)보험</x:v>
      </x:c>
      <x:c r="N964" s="2" t="str">
        <x:f>VLOOKUP(M964,'분류기준'!$A$5:$B$8,2,FALSE)</x:f>
        <x:v>간편심사보험</x:v>
      </x:c>
      <x:c r="O964" s="2" t="str">
        <x:v>중증질환 산정특례 보장 특약</x:v>
      </x:c>
      <x:c r="P964" s="2" t="str">
        <x:f>IF(O964="선택 안함","선택 안함",IF(O964="특약 없음","특약 없음","가입"))</x:f>
        <x:v>가입</x:v>
      </x:c>
      <x:c r="Q964" s="2" t="str">
        <x:f>IF(P964="가입","가입","미가입")</x:f>
        <x:v>가입</x:v>
      </x:c>
    </x:row>
    <x:row r="965" ht="23" customHeight="1">
      <x:c r="A965" s="2" t="str">
        <x:v>C0972</x:v>
      </x:c>
      <x:c r="B965" s="7" t="n">
        <x:v>63</x:v>
      </x:c>
      <x:c r="C965" s="2" t="str">
        <x:f>INT(B965/10)*10&amp;"대"</x:f>
        <x:v>60대</x:v>
      </x:c>
      <x:c r="D965" s="2" t="str">
        <x:v>남성</x:v>
      </x:c>
      <x:c r="E965" s="7" t="n">
        <x:v>3000</x:v>
      </x:c>
      <x:c r="F965" s="7" t="n">
        <x:v>1</x:v>
      </x:c>
      <x:c r="G965" s="2" t="str">
        <x:v>기혼</x:v>
      </x:c>
      <x:c r="H965" s="7" t="n">
        <x:v>1</x:v>
      </x:c>
      <x:c r="I965" s="2" t="str">
        <x:f>IF(H965&lt;3,H965&amp;"명","3명 이상")</x:f>
        <x:v>1명</x:v>
      </x:c>
      <x:c r="J965" s="2" t="str">
        <x:v>흡연</x:v>
      </x:c>
      <x:c r="K965" s="2" t="str">
        <x:v>고혈압</x:v>
      </x:c>
      <x:c r="L965" s="2" t="str">
        <x:v>암</x:v>
      </x:c>
      <x:c r="M965" s="2" t="str">
        <x:v>수호천사 암/건강보험</x:v>
      </x:c>
      <x:c r="N965" s="2" t="str">
        <x:f>VLOOKUP(M965,'분류기준'!$A$5:$B$8,2,FALSE)</x:f>
        <x:v>암/건강보험</x:v>
      </x:c>
      <x:c r="O965" s="2" t="str">
        <x:v>표적항암약물허가치료 특약</x:v>
      </x:c>
      <x:c r="P965" s="2" t="str">
        <x:f>IF(O965="선택 안함","선택 안함",IF(O965="특약 없음","특약 없음","가입"))</x:f>
        <x:v>가입</x:v>
      </x:c>
      <x:c r="Q965" s="2" t="str">
        <x:f>IF(P965="가입","가입","미가입")</x:f>
        <x:v>가입</x:v>
      </x:c>
    </x:row>
    <x:row r="966" ht="23" customHeight="1">
      <x:c r="A966" s="2" t="str">
        <x:v>C0991</x:v>
      </x:c>
      <x:c r="B966" s="7" t="n">
        <x:v>63</x:v>
      </x:c>
      <x:c r="C966" s="2" t="str">
        <x:f>INT(B966/10)*10&amp;"대"</x:f>
        <x:v>60대</x:v>
      </x:c>
      <x:c r="D966" s="2" t="str">
        <x:v>남성</x:v>
      </x:c>
      <x:c r="E966" s="7" t="n">
        <x:v>5000</x:v>
      </x:c>
      <x:c r="F966" s="7" t="n">
        <x:v>1</x:v>
      </x:c>
      <x:c r="G966" s="2" t="str">
        <x:v>기혼</x:v>
      </x:c>
      <x:c r="H966" s="7" t="n">
        <x:v>0</x:v>
      </x:c>
      <x:c r="I966" s="2" t="str">
        <x:f>IF(H966&lt;3,H966&amp;"명","3명 이상")</x:f>
        <x:v>0명</x:v>
      </x:c>
      <x:c r="J966" s="2" t="str">
        <x:v>비흡연</x:v>
      </x:c>
      <x:c r="K966" s="2" t="str">
        <x:v>없음</x:v>
      </x:c>
      <x:c r="L966" s="2" t="str">
        <x:v>없음</x:v>
      </x:c>
      <x:c r="M966" s="2" t="str">
        <x:v>수호천사 행복 연금보험</x:v>
      </x:c>
      <x:c r="N966" s="2" t="str">
        <x:f>VLOOKUP(M966,'분류기준'!$A$5:$B$8,2,FALSE)</x:f>
        <x:v>연금보험</x:v>
      </x:c>
      <x:c r="O966" s="2" t="str">
        <x:v>특약 없음</x:v>
      </x:c>
      <x:c r="P966" s="2" t="str">
        <x:f>IF(O966="선택 안함","선택 안함",IF(O966="특약 없음","특약 없음","가입"))</x:f>
        <x:v>특약 없음</x:v>
      </x:c>
      <x:c r="Q966" s="2" t="str">
        <x:f>IF(P966="가입","가입","미가입")</x:f>
        <x:v>미가입</x:v>
      </x:c>
    </x:row>
    <x:row r="967" ht="23" customHeight="1">
      <x:c r="A967" s="2" t="str">
        <x:v>C0080</x:v>
      </x:c>
      <x:c r="B967" s="7" t="n">
        <x:v>64</x:v>
      </x:c>
      <x:c r="C967" s="2" t="str">
        <x:f>INT(B967/10)*10&amp;"대"</x:f>
        <x:v>60대</x:v>
      </x:c>
      <x:c r="D967" s="2" t="str">
        <x:v>남성</x:v>
      </x:c>
      <x:c r="E967" s="7" t="n">
        <x:v>5000</x:v>
      </x:c>
      <x:c r="F967" s="7" t="n">
        <x:v>1</x:v>
      </x:c>
      <x:c r="G967" s="2" t="str">
        <x:v>미혼</x:v>
      </x:c>
      <x:c r="H967" s="7" t="n">
        <x:v>0</x:v>
      </x:c>
      <x:c r="I967" s="2" t="str">
        <x:f>IF(H967&lt;3,H967&amp;"명","3명 이상")</x:f>
        <x:v>0명</x:v>
      </x:c>
      <x:c r="J967" s="2" t="str">
        <x:v>비흡연</x:v>
      </x:c>
      <x:c r="K967" s="2" t="str">
        <x:v>당뇨</x:v>
      </x:c>
      <x:c r="L967" s="2" t="str">
        <x:v>심혈관</x:v>
      </x:c>
      <x:c r="M967" s="2" t="str">
        <x:v>수호천사 암/건강보험</x:v>
      </x:c>
      <x:c r="N967" s="2" t="str">
        <x:f>VLOOKUP(M967,'분류기준'!$A$5:$B$8,2,FALSE)</x:f>
        <x:v>암/건강보험</x:v>
      </x:c>
      <x:c r="O967" s="2" t="str">
        <x:v>표적항암약물허가치료 특약</x:v>
      </x:c>
      <x:c r="P967" s="2" t="str">
        <x:f>IF(O967="선택 안함","선택 안함",IF(O967="특약 없음","특약 없음","가입"))</x:f>
        <x:v>가입</x:v>
      </x:c>
      <x:c r="Q967" s="2" t="str">
        <x:f>IF(P967="가입","가입","미가입")</x:f>
        <x:v>가입</x:v>
      </x:c>
    </x:row>
    <x:row r="968" ht="23" customHeight="1">
      <x:c r="A968" s="2" t="str">
        <x:v>C0085</x:v>
      </x:c>
      <x:c r="B968" s="7" t="n">
        <x:v>64</x:v>
      </x:c>
      <x:c r="C968" s="2" t="str">
        <x:f>INT(B968/10)*10&amp;"대"</x:f>
        <x:v>60대</x:v>
      </x:c>
      <x:c r="D968" s="2" t="str">
        <x:v>여성</x:v>
      </x:c>
      <x:c r="E968" s="7" t="n">
        <x:v>4000</x:v>
      </x:c>
      <x:c r="F968" s="7" t="n">
        <x:v>2</x:v>
      </x:c>
      <x:c r="G968" s="2" t="str">
        <x:v>기혼</x:v>
      </x:c>
      <x:c r="H968" s="7" t="n">
        <x:v>1</x:v>
      </x:c>
      <x:c r="I968" s="2" t="str">
        <x:f>IF(H968&lt;3,H968&amp;"명","3명 이상")</x:f>
        <x:v>1명</x:v>
      </x:c>
      <x:c r="J968" s="2" t="str">
        <x:v>비흡연</x:v>
      </x:c>
      <x:c r="K968" s="2" t="str">
        <x:v>없음</x:v>
      </x:c>
      <x:c r="L968" s="2" t="str">
        <x:v>없음</x:v>
      </x:c>
      <x:c r="M968" s="2" t="str">
        <x:v>수호천사 우리가족 종신보험</x:v>
      </x:c>
      <x:c r="N968" s="2" t="str">
        <x:f>VLOOKUP(M968,'분류기준'!$A$5:$B$8,2,FALSE)</x:f>
        <x:v>종신보험</x:v>
      </x:c>
      <x:c r="O968" s="2" t="str">
        <x:v>가족 수입 보장 특약</x:v>
      </x:c>
      <x:c r="P968" s="2" t="str">
        <x:f>IF(O968="선택 안함","선택 안함",IF(O968="특약 없음","특약 없음","가입"))</x:f>
        <x:v>가입</x:v>
      </x:c>
      <x:c r="Q968" s="2" t="str">
        <x:f>IF(P968="가입","가입","미가입")</x:f>
        <x:v>가입</x:v>
      </x:c>
    </x:row>
    <x:row r="969" ht="23" customHeight="1">
      <x:c r="A969" s="2" t="str">
        <x:v>C0089</x:v>
      </x:c>
      <x:c r="B969" s="7" t="n">
        <x:v>64</x:v>
      </x:c>
      <x:c r="C969" s="2" t="str">
        <x:f>INT(B969/10)*10&amp;"대"</x:f>
        <x:v>60대</x:v>
      </x:c>
      <x:c r="D969" s="2" t="str">
        <x:v>남성</x:v>
      </x:c>
      <x:c r="E969" s="7" t="n">
        <x:v>3000</x:v>
      </x:c>
      <x:c r="F969" s="7" t="n">
        <x:v>1</x:v>
      </x:c>
      <x:c r="G969" s="2" t="str">
        <x:v>기혼</x:v>
      </x:c>
      <x:c r="H969" s="7" t="n">
        <x:v>1</x:v>
      </x:c>
      <x:c r="I969" s="2" t="str">
        <x:f>IF(H969&lt;3,H969&amp;"명","3명 이상")</x:f>
        <x:v>1명</x:v>
      </x:c>
      <x:c r="J969" s="2" t="str">
        <x:v>흡연</x:v>
      </x:c>
      <x:c r="K969" s="2" t="str">
        <x:v>고혈압</x:v>
      </x:c>
      <x:c r="L969" s="2" t="str">
        <x:v>암</x:v>
      </x:c>
      <x:c r="M969" s="2" t="str">
        <x:v>수호천사 간편심사(유병자)보험</x:v>
      </x:c>
      <x:c r="N969" s="2" t="str">
        <x:f>VLOOKUP(M969,'분류기준'!$A$5:$B$8,2,FALSE)</x:f>
        <x:v>간편심사보험</x:v>
      </x:c>
      <x:c r="O969" s="2" t="str">
        <x:v>중증질환 산정특례 보장 특약</x:v>
      </x:c>
      <x:c r="P969" s="2" t="str">
        <x:f>IF(O969="선택 안함","선택 안함",IF(O969="특약 없음","특약 없음","가입"))</x:f>
        <x:v>가입</x:v>
      </x:c>
      <x:c r="Q969" s="2" t="str">
        <x:f>IF(P969="가입","가입","미가입")</x:f>
        <x:v>가입</x:v>
      </x:c>
    </x:row>
    <x:row r="970" ht="23" customHeight="1">
      <x:c r="A970" s="2" t="str">
        <x:v>C0150</x:v>
      </x:c>
      <x:c r="B970" s="7" t="n">
        <x:v>64</x:v>
      </x:c>
      <x:c r="C970" s="2" t="str">
        <x:f>INT(B970/10)*10&amp;"대"</x:f>
        <x:v>60대</x:v>
      </x:c>
      <x:c r="D970" s="2" t="str">
        <x:v>여성</x:v>
      </x:c>
      <x:c r="E970" s="7" t="n">
        <x:v>3000</x:v>
      </x:c>
      <x:c r="F970" s="7" t="n">
        <x:v>1</x:v>
      </x:c>
      <x:c r="G970" s="2" t="str">
        <x:v>미혼</x:v>
      </x:c>
      <x:c r="H970" s="7" t="n">
        <x:v>0</x:v>
      </x:c>
      <x:c r="I970" s="2" t="str">
        <x:f>IF(H970&lt;3,H970&amp;"명","3명 이상")</x:f>
        <x:v>0명</x:v>
      </x:c>
      <x:c r="J970" s="2" t="str">
        <x:v>비흡연</x:v>
      </x:c>
      <x:c r="K970" s="2" t="str">
        <x:v>없음</x:v>
      </x:c>
      <x:c r="L970" s="2" t="str">
        <x:v>심혈관</x:v>
      </x:c>
      <x:c r="M970" s="2" t="str">
        <x:v>수호천사 행복 연금보험</x:v>
      </x:c>
      <x:c r="N970" s="2" t="str">
        <x:f>VLOOKUP(M970,'분류기준'!$A$5:$B$8,2,FALSE)</x:f>
        <x:v>연금보험</x:v>
      </x:c>
      <x:c r="O970" s="2" t="str">
        <x:v>특약 없음</x:v>
      </x:c>
      <x:c r="P970" s="2" t="str">
        <x:f>IF(O970="선택 안함","선택 안함",IF(O970="특약 없음","특약 없음","가입"))</x:f>
        <x:v>특약 없음</x:v>
      </x:c>
      <x:c r="Q970" s="2" t="str">
        <x:f>IF(P970="가입","가입","미가입")</x:f>
        <x:v>미가입</x:v>
      </x:c>
    </x:row>
    <x:row r="971" ht="23" customHeight="1">
      <x:c r="A971" s="2" t="str">
        <x:v>C0162</x:v>
      </x:c>
      <x:c r="B971" s="7" t="n">
        <x:v>64</x:v>
      </x:c>
      <x:c r="C971" s="2" t="str">
        <x:f>INT(B971/10)*10&amp;"대"</x:f>
        <x:v>60대</x:v>
      </x:c>
      <x:c r="D971" s="2" t="str">
        <x:v>여성</x:v>
      </x:c>
      <x:c r="E971" s="7" t="n">
        <x:v>3000</x:v>
      </x:c>
      <x:c r="F971" s="7" t="n">
        <x:v>1</x:v>
      </x:c>
      <x:c r="G971" s="2" t="str">
        <x:v>기혼</x:v>
      </x:c>
      <x:c r="H971" s="7" t="n">
        <x:v>1</x:v>
      </x:c>
      <x:c r="I971" s="2" t="str">
        <x:f>IF(H971&lt;3,H971&amp;"명","3명 이상")</x:f>
        <x:v>1명</x:v>
      </x:c>
      <x:c r="J971" s="2" t="str">
        <x:v>비흡연</x:v>
      </x:c>
      <x:c r="K971" s="2" t="str">
        <x:v>당뇨</x:v>
      </x:c>
      <x:c r="L971" s="2" t="str">
        <x:v>없음</x:v>
      </x:c>
      <x:c r="M971" s="2" t="str">
        <x:v>수호천사 간편심사(유병자)보험</x:v>
      </x:c>
      <x:c r="N971" s="2" t="str">
        <x:f>VLOOKUP(M971,'분류기준'!$A$5:$B$8,2,FALSE)</x:f>
        <x:v>간편심사보험</x:v>
      </x:c>
      <x:c r="O971" s="2" t="str">
        <x:v>중증질환 산정특례 보장 특약</x:v>
      </x:c>
      <x:c r="P971" s="2" t="str">
        <x:f>IF(O971="선택 안함","선택 안함",IF(O971="특약 없음","특약 없음","가입"))</x:f>
        <x:v>가입</x:v>
      </x:c>
      <x:c r="Q971" s="2" t="str">
        <x:f>IF(P971="가입","가입","미가입")</x:f>
        <x:v>가입</x:v>
      </x:c>
    </x:row>
    <x:row r="972" ht="23" customHeight="1">
      <x:c r="A972" s="2" t="str">
        <x:v>C0313</x:v>
      </x:c>
      <x:c r="B972" s="7" t="n">
        <x:v>64</x:v>
      </x:c>
      <x:c r="C972" s="2" t="str">
        <x:f>INT(B972/10)*10&amp;"대"</x:f>
        <x:v>60대</x:v>
      </x:c>
      <x:c r="D972" s="2" t="str">
        <x:v>여성</x:v>
      </x:c>
      <x:c r="E972" s="7" t="n">
        <x:v>3000</x:v>
      </x:c>
      <x:c r="F972" s="7" t="n">
        <x:v>3</x:v>
      </x:c>
      <x:c r="G972" s="2" t="str">
        <x:v>기혼</x:v>
      </x:c>
      <x:c r="H972" s="7" t="n">
        <x:v>1</x:v>
      </x:c>
      <x:c r="I972" s="2" t="str">
        <x:f>IF(H972&lt;3,H972&amp;"명","3명 이상")</x:f>
        <x:v>1명</x:v>
      </x:c>
      <x:c r="J972" s="2" t="str">
        <x:v>비흡연</x:v>
      </x:c>
      <x:c r="K972" s="2" t="str">
        <x:v>없음</x:v>
      </x:c>
      <x:c r="L972" s="2" t="str">
        <x:v>없음</x:v>
      </x:c>
      <x:c r="M972" s="2" t="str">
        <x:v>수호천사 암/건강보험</x:v>
      </x:c>
      <x:c r="N972" s="2" t="str">
        <x:f>VLOOKUP(M972,'분류기준'!$A$5:$B$8,2,FALSE)</x:f>
        <x:v>암/건강보험</x:v>
      </x:c>
      <x:c r="O972" s="2" t="str">
        <x:v>표적항암약물허가치료 특약</x:v>
      </x:c>
      <x:c r="P972" s="2" t="str">
        <x:f>IF(O972="선택 안함","선택 안함",IF(O972="특약 없음","특약 없음","가입"))</x:f>
        <x:v>가입</x:v>
      </x:c>
      <x:c r="Q972" s="2" t="str">
        <x:f>IF(P972="가입","가입","미가입")</x:f>
        <x:v>가입</x:v>
      </x:c>
    </x:row>
    <x:row r="973" ht="23" customHeight="1">
      <x:c r="A973" s="2" t="str">
        <x:v>C0379</x:v>
      </x:c>
      <x:c r="B973" s="7" t="n">
        <x:v>64</x:v>
      </x:c>
      <x:c r="C973" s="2" t="str">
        <x:f>INT(B973/10)*10&amp;"대"</x:f>
        <x:v>60대</x:v>
      </x:c>
      <x:c r="D973" s="2" t="str">
        <x:v>남성</x:v>
      </x:c>
      <x:c r="E973" s="7" t="n">
        <x:v>5000</x:v>
      </x:c>
      <x:c r="F973" s="7" t="n">
        <x:v>1</x:v>
      </x:c>
      <x:c r="G973" s="2" t="str">
        <x:v>기혼</x:v>
      </x:c>
      <x:c r="H973" s="7" t="n">
        <x:v>0</x:v>
      </x:c>
      <x:c r="I973" s="2" t="str">
        <x:f>IF(H973&lt;3,H973&amp;"명","3명 이상")</x:f>
        <x:v>0명</x:v>
      </x:c>
      <x:c r="J973" s="2" t="str">
        <x:v>비흡연</x:v>
      </x:c>
      <x:c r="K973" s="2" t="str">
        <x:v>당뇨</x:v>
      </x:c>
      <x:c r="L973" s="2" t="str">
        <x:v>없음</x:v>
      </x:c>
      <x:c r="M973" s="2" t="str">
        <x:v>수호천사 간편심사(유병자)보험</x:v>
      </x:c>
      <x:c r="N973" s="2" t="str">
        <x:f>VLOOKUP(M973,'분류기준'!$A$5:$B$8,2,FALSE)</x:f>
        <x:v>간편심사보험</x:v>
      </x:c>
      <x:c r="O973" s="2" t="str">
        <x:v>선택 안함</x:v>
      </x:c>
      <x:c r="P973" s="2" t="str">
        <x:f>IF(O973="선택 안함","선택 안함",IF(O973="특약 없음","특약 없음","가입"))</x:f>
        <x:v>선택 안함</x:v>
      </x:c>
      <x:c r="Q973" s="2" t="str">
        <x:f>IF(P973="가입","가입","미가입")</x:f>
        <x:v>미가입</x:v>
      </x:c>
    </x:row>
    <x:row r="974" ht="23" customHeight="1">
      <x:c r="A974" s="2" t="str">
        <x:v>C0411</x:v>
      </x:c>
      <x:c r="B974" s="7" t="n">
        <x:v>64</x:v>
      </x:c>
      <x:c r="C974" s="2" t="str">
        <x:f>INT(B974/10)*10&amp;"대"</x:f>
        <x:v>60대</x:v>
      </x:c>
      <x:c r="D974" s="2" t="str">
        <x:v>남성</x:v>
      </x:c>
      <x:c r="E974" s="7" t="n">
        <x:v>3000</x:v>
      </x:c>
      <x:c r="F974" s="7" t="n">
        <x:v>2</x:v>
      </x:c>
      <x:c r="G974" s="2" t="str">
        <x:v>기혼</x:v>
      </x:c>
      <x:c r="H974" s="7" t="n">
        <x:v>0</x:v>
      </x:c>
      <x:c r="I974" s="2" t="str">
        <x:f>IF(H974&lt;3,H974&amp;"명","3명 이상")</x:f>
        <x:v>0명</x:v>
      </x:c>
      <x:c r="J974" s="2" t="str">
        <x:v>흡연</x:v>
      </x:c>
      <x:c r="K974" s="2" t="str">
        <x:v>당뇨</x:v>
      </x:c>
      <x:c r="L974" s="2" t="str">
        <x:v>심혈관</x:v>
      </x:c>
      <x:c r="M974" s="2" t="str">
        <x:v>수호천사 행복 연금보험</x:v>
      </x:c>
      <x:c r="N974" s="2" t="str">
        <x:f>VLOOKUP(M974,'분류기준'!$A$5:$B$8,2,FALSE)</x:f>
        <x:v>연금보험</x:v>
      </x:c>
      <x:c r="O974" s="2" t="str">
        <x:v>특약 없음</x:v>
      </x:c>
      <x:c r="P974" s="2" t="str">
        <x:f>IF(O974="선택 안함","선택 안함",IF(O974="특약 없음","특약 없음","가입"))</x:f>
        <x:v>특약 없음</x:v>
      </x:c>
      <x:c r="Q974" s="2" t="str">
        <x:f>IF(P974="가입","가입","미가입")</x:f>
        <x:v>미가입</x:v>
      </x:c>
    </x:row>
    <x:row r="975" ht="23" customHeight="1">
      <x:c r="A975" s="2" t="str">
        <x:v>C0436</x:v>
      </x:c>
      <x:c r="B975" s="7" t="n">
        <x:v>64</x:v>
      </x:c>
      <x:c r="C975" s="2" t="str">
        <x:f>INT(B975/10)*10&amp;"대"</x:f>
        <x:v>60대</x:v>
      </x:c>
      <x:c r="D975" s="2" t="str">
        <x:v>남성</x:v>
      </x:c>
      <x:c r="E975" s="7" t="n">
        <x:v>3000</x:v>
      </x:c>
      <x:c r="F975" s="7" t="n">
        <x:v>1</x:v>
      </x:c>
      <x:c r="G975" s="2" t="str">
        <x:v>기혼</x:v>
      </x:c>
      <x:c r="H975" s="7" t="n">
        <x:v>2</x:v>
      </x:c>
      <x:c r="I975" s="2" t="str">
        <x:f>IF(H975&lt;3,H975&amp;"명","3명 이상")</x:f>
        <x:v>2명</x:v>
      </x:c>
      <x:c r="J975" s="2" t="str">
        <x:v>비흡연</x:v>
      </x:c>
      <x:c r="K975" s="2" t="str">
        <x:v>고혈압</x:v>
      </x:c>
      <x:c r="L975" s="2" t="str">
        <x:v>심혈관</x:v>
      </x:c>
      <x:c r="M975" s="2" t="str">
        <x:v>수호천사 간편심사(유병자)보험</x:v>
      </x:c>
      <x:c r="N975" s="2" t="str">
        <x:f>VLOOKUP(M975,'분류기준'!$A$5:$B$8,2,FALSE)</x:f>
        <x:v>간편심사보험</x:v>
      </x:c>
      <x:c r="O975" s="2" t="str">
        <x:v>중증질환 산정특례 보장 특약</x:v>
      </x:c>
      <x:c r="P975" s="2" t="str">
        <x:f>IF(O975="선택 안함","선택 안함",IF(O975="특약 없음","특약 없음","가입"))</x:f>
        <x:v>가입</x:v>
      </x:c>
      <x:c r="Q975" s="2" t="str">
        <x:f>IF(P975="가입","가입","미가입")</x:f>
        <x:v>가입</x:v>
      </x:c>
    </x:row>
    <x:row r="976" ht="23" customHeight="1">
      <x:c r="A976" s="2" t="str">
        <x:v>C0477</x:v>
      </x:c>
      <x:c r="B976" s="7" t="n">
        <x:v>64</x:v>
      </x:c>
      <x:c r="C976" s="2" t="str">
        <x:f>INT(B976/10)*10&amp;"대"</x:f>
        <x:v>60대</x:v>
      </x:c>
      <x:c r="D976" s="2" t="str">
        <x:v>여성</x:v>
      </x:c>
      <x:c r="E976" s="7" t="n">
        <x:v>4000</x:v>
      </x:c>
      <x:c r="F976" s="7" t="n">
        <x:v>1</x:v>
      </x:c>
      <x:c r="G976" s="2" t="str">
        <x:v>기혼</x:v>
      </x:c>
      <x:c r="H976" s="7" t="n">
        <x:v>2</x:v>
      </x:c>
      <x:c r="I976" s="2" t="str">
        <x:f>IF(H976&lt;3,H976&amp;"명","3명 이상")</x:f>
        <x:v>2명</x:v>
      </x:c>
      <x:c r="J976" s="2" t="str">
        <x:v>흡연</x:v>
      </x:c>
      <x:c r="K976" s="2" t="str">
        <x:v>고혈압</x:v>
      </x:c>
      <x:c r="L976" s="2" t="str">
        <x:v>암</x:v>
      </x:c>
      <x:c r="M976" s="2" t="str">
        <x:v>수호천사 암/건강보험</x:v>
      </x:c>
      <x:c r="N976" s="2" t="str">
        <x:f>VLOOKUP(M976,'분류기준'!$A$5:$B$8,2,FALSE)</x:f>
        <x:v>암/건강보험</x:v>
      </x:c>
      <x:c r="O976" s="2" t="str">
        <x:v>표적항암약물허가치료 특약</x:v>
      </x:c>
      <x:c r="P976" s="2" t="str">
        <x:f>IF(O976="선택 안함","선택 안함",IF(O976="특약 없음","특약 없음","가입"))</x:f>
        <x:v>가입</x:v>
      </x:c>
      <x:c r="Q976" s="2" t="str">
        <x:f>IF(P976="가입","가입","미가입")</x:f>
        <x:v>가입</x:v>
      </x:c>
    </x:row>
    <x:row r="977" ht="23" customHeight="1">
      <x:c r="A977" s="2" t="str">
        <x:v>C0521</x:v>
      </x:c>
      <x:c r="B977" s="7" t="n">
        <x:v>64</x:v>
      </x:c>
      <x:c r="C977" s="2" t="str">
        <x:f>INT(B977/10)*10&amp;"대"</x:f>
        <x:v>60대</x:v>
      </x:c>
      <x:c r="D977" s="2" t="str">
        <x:v>여성</x:v>
      </x:c>
      <x:c r="E977" s="7" t="n">
        <x:v>6000</x:v>
      </x:c>
      <x:c r="F977" s="7" t="n">
        <x:v>1</x:v>
      </x:c>
      <x:c r="G977" s="2" t="str">
        <x:v>기혼</x:v>
      </x:c>
      <x:c r="H977" s="7" t="n">
        <x:v>1</x:v>
      </x:c>
      <x:c r="I977" s="2" t="str">
        <x:f>IF(H977&lt;3,H977&amp;"명","3명 이상")</x:f>
        <x:v>1명</x:v>
      </x:c>
      <x:c r="J977" s="2" t="str">
        <x:v>비흡연</x:v>
      </x:c>
      <x:c r="K977" s="2" t="str">
        <x:v>없음</x:v>
      </x:c>
      <x:c r="L977" s="2" t="str">
        <x:v>없음</x:v>
      </x:c>
      <x:c r="M977" s="2" t="str">
        <x:v>수호천사 간편심사(유병자)보험</x:v>
      </x:c>
      <x:c r="N977" s="2" t="str">
        <x:f>VLOOKUP(M977,'분류기준'!$A$5:$B$8,2,FALSE)</x:f>
        <x:v>간편심사보험</x:v>
      </x:c>
      <x:c r="O977" s="2" t="str">
        <x:v>중증질환 산정특례 보장 특약</x:v>
      </x:c>
      <x:c r="P977" s="2" t="str">
        <x:f>IF(O977="선택 안함","선택 안함",IF(O977="특약 없음","특약 없음","가입"))</x:f>
        <x:v>가입</x:v>
      </x:c>
      <x:c r="Q977" s="2" t="str">
        <x:f>IF(P977="가입","가입","미가입")</x:f>
        <x:v>가입</x:v>
      </x:c>
    </x:row>
    <x:row r="978" ht="23" customHeight="1">
      <x:c r="A978" s="2" t="str">
        <x:v>C0576</x:v>
      </x:c>
      <x:c r="B978" s="7" t="n">
        <x:v>64</x:v>
      </x:c>
      <x:c r="C978" s="2" t="str">
        <x:f>INT(B978/10)*10&amp;"대"</x:f>
        <x:v>60대</x:v>
      </x:c>
      <x:c r="D978" s="2" t="str">
        <x:v>남성</x:v>
      </x:c>
      <x:c r="E978" s="7" t="n">
        <x:v>4000</x:v>
      </x:c>
      <x:c r="F978" s="7" t="n">
        <x:v>1</x:v>
      </x:c>
      <x:c r="G978" s="2" t="str">
        <x:v>기혼</x:v>
      </x:c>
      <x:c r="H978" s="7" t="n">
        <x:v>0</x:v>
      </x:c>
      <x:c r="I978" s="2" t="str">
        <x:f>IF(H978&lt;3,H978&amp;"명","3명 이상")</x:f>
        <x:v>0명</x:v>
      </x:c>
      <x:c r="J978" s="2" t="str">
        <x:v>비흡연</x:v>
      </x:c>
      <x:c r="K978" s="2" t="str">
        <x:v>없음</x:v>
      </x:c>
      <x:c r="L978" s="2" t="str">
        <x:v>심혈관</x:v>
      </x:c>
      <x:c r="M978" s="2" t="str">
        <x:v>수호천사 암/건강보험</x:v>
      </x:c>
      <x:c r="N978" s="2" t="str">
        <x:f>VLOOKUP(M978,'분류기준'!$A$5:$B$8,2,FALSE)</x:f>
        <x:v>암/건강보험</x:v>
      </x:c>
      <x:c r="O978" s="2" t="str">
        <x:v>선택 안함</x:v>
      </x:c>
      <x:c r="P978" s="2" t="str">
        <x:f>IF(O978="선택 안함","선택 안함",IF(O978="특약 없음","특약 없음","가입"))</x:f>
        <x:v>선택 안함</x:v>
      </x:c>
      <x:c r="Q978" s="2" t="str">
        <x:f>IF(P978="가입","가입","미가입")</x:f>
        <x:v>미가입</x:v>
      </x:c>
    </x:row>
    <x:row r="979" ht="23" customHeight="1">
      <x:c r="A979" s="2" t="str">
        <x:v>C0608</x:v>
      </x:c>
      <x:c r="B979" s="7" t="n">
        <x:v>64</x:v>
      </x:c>
      <x:c r="C979" s="2" t="str">
        <x:f>INT(B979/10)*10&amp;"대"</x:f>
        <x:v>60대</x:v>
      </x:c>
      <x:c r="D979" s="2" t="str">
        <x:v>남성</x:v>
      </x:c>
      <x:c r="E979" s="7" t="n">
        <x:v>7500</x:v>
      </x:c>
      <x:c r="F979" s="7" t="n">
        <x:v>2</x:v>
      </x:c>
      <x:c r="G979" s="2" t="str">
        <x:v>기혼</x:v>
      </x:c>
      <x:c r="H979" s="7" t="n">
        <x:v>0</x:v>
      </x:c>
      <x:c r="I979" s="2" t="str">
        <x:f>IF(H979&lt;3,H979&amp;"명","3명 이상")</x:f>
        <x:v>0명</x:v>
      </x:c>
      <x:c r="J979" s="2" t="str">
        <x:v>흡연</x:v>
      </x:c>
      <x:c r="K979" s="2" t="str">
        <x:v>고혈압</x:v>
      </x:c>
      <x:c r="L979" s="2" t="str">
        <x:v>없음</x:v>
      </x:c>
      <x:c r="M979" s="2" t="str">
        <x:v>수호천사 간편심사(유병자)보험</x:v>
      </x:c>
      <x:c r="N979" s="2" t="str">
        <x:f>VLOOKUP(M979,'분류기준'!$A$5:$B$8,2,FALSE)</x:f>
        <x:v>간편심사보험</x:v>
      </x:c>
      <x:c r="O979" s="2" t="str">
        <x:v>중증질환 산정특례 보장 특약</x:v>
      </x:c>
      <x:c r="P979" s="2" t="str">
        <x:f>IF(O979="선택 안함","선택 안함",IF(O979="특약 없음","특약 없음","가입"))</x:f>
        <x:v>가입</x:v>
      </x:c>
      <x:c r="Q979" s="2" t="str">
        <x:f>IF(P979="가입","가입","미가입")</x:f>
        <x:v>가입</x:v>
      </x:c>
    </x:row>
    <x:row r="980" ht="23" customHeight="1">
      <x:c r="A980" s="2" t="str">
        <x:v>C0614</x:v>
      </x:c>
      <x:c r="B980" s="7" t="n">
        <x:v>64</x:v>
      </x:c>
      <x:c r="C980" s="2" t="str">
        <x:f>INT(B980/10)*10&amp;"대"</x:f>
        <x:v>60대</x:v>
      </x:c>
      <x:c r="D980" s="2" t="str">
        <x:v>남성</x:v>
      </x:c>
      <x:c r="E980" s="7" t="n">
        <x:v>6000</x:v>
      </x:c>
      <x:c r="F980" s="7" t="n">
        <x:v>1</x:v>
      </x:c>
      <x:c r="G980" s="2" t="str">
        <x:v>기혼</x:v>
      </x:c>
      <x:c r="H980" s="7" t="n">
        <x:v>2</x:v>
      </x:c>
      <x:c r="I980" s="2" t="str">
        <x:f>IF(H980&lt;3,H980&amp;"명","3명 이상")</x:f>
        <x:v>2명</x:v>
      </x:c>
      <x:c r="J980" s="2" t="str">
        <x:v>흡연</x:v>
      </x:c>
      <x:c r="K980" s="2" t="str">
        <x:v>고혈압</x:v>
      </x:c>
      <x:c r="L980" s="2" t="str">
        <x:v>없음</x:v>
      </x:c>
      <x:c r="M980" s="2" t="str">
        <x:v>수호천사 간편심사(유병자)보험</x:v>
      </x:c>
      <x:c r="N980" s="2" t="str">
        <x:f>VLOOKUP(M980,'분류기준'!$A$5:$B$8,2,FALSE)</x:f>
        <x:v>간편심사보험</x:v>
      </x:c>
      <x:c r="O980" s="2" t="str">
        <x:v>선택 안함</x:v>
      </x:c>
      <x:c r="P980" s="2" t="str">
        <x:f>IF(O980="선택 안함","선택 안함",IF(O980="특약 없음","특약 없음","가입"))</x:f>
        <x:v>선택 안함</x:v>
      </x:c>
      <x:c r="Q980" s="2" t="str">
        <x:f>IF(P980="가입","가입","미가입")</x:f>
        <x:v>미가입</x:v>
      </x:c>
    </x:row>
    <x:row r="981" ht="23" customHeight="1">
      <x:c r="A981" s="2" t="str">
        <x:v>C0628</x:v>
      </x:c>
      <x:c r="B981" s="7" t="n">
        <x:v>64</x:v>
      </x:c>
      <x:c r="C981" s="2" t="str">
        <x:f>INT(B981/10)*10&amp;"대"</x:f>
        <x:v>60대</x:v>
      </x:c>
      <x:c r="D981" s="2" t="str">
        <x:v>여성</x:v>
      </x:c>
      <x:c r="E981" s="7" t="n">
        <x:v>3000</x:v>
      </x:c>
      <x:c r="F981" s="7" t="n">
        <x:v>2</x:v>
      </x:c>
      <x:c r="G981" s="2" t="str">
        <x:v>기혼</x:v>
      </x:c>
      <x:c r="H981" s="7" t="n">
        <x:v>2</x:v>
      </x:c>
      <x:c r="I981" s="2" t="str">
        <x:f>IF(H981&lt;3,H981&amp;"명","3명 이상")</x:f>
        <x:v>2명</x:v>
      </x:c>
      <x:c r="J981" s="2" t="str">
        <x:v>비흡연</x:v>
      </x:c>
      <x:c r="K981" s="2" t="str">
        <x:v>고혈압</x:v>
      </x:c>
      <x:c r="L981" s="2" t="str">
        <x:v>암</x:v>
      </x:c>
      <x:c r="M981" s="2" t="str">
        <x:v>수호천사 암/건강보험</x:v>
      </x:c>
      <x:c r="N981" s="2" t="str">
        <x:f>VLOOKUP(M981,'분류기준'!$A$5:$B$8,2,FALSE)</x:f>
        <x:v>암/건강보험</x:v>
      </x:c>
      <x:c r="O981" s="2" t="str">
        <x:v>표적항암약물허가치료 특약</x:v>
      </x:c>
      <x:c r="P981" s="2" t="str">
        <x:f>IF(O981="선택 안함","선택 안함",IF(O981="특약 없음","특약 없음","가입"))</x:f>
        <x:v>가입</x:v>
      </x:c>
      <x:c r="Q981" s="2" t="str">
        <x:f>IF(P981="가입","가입","미가입")</x:f>
        <x:v>가입</x:v>
      </x:c>
    </x:row>
    <x:row r="982" ht="23" customHeight="1">
      <x:c r="A982" s="2" t="str">
        <x:v>C0645</x:v>
      </x:c>
      <x:c r="B982" s="7" t="n">
        <x:v>64</x:v>
      </x:c>
      <x:c r="C982" s="2" t="str">
        <x:f>INT(B982/10)*10&amp;"대"</x:f>
        <x:v>60대</x:v>
      </x:c>
      <x:c r="D982" s="2" t="str">
        <x:v>여성</x:v>
      </x:c>
      <x:c r="E982" s="7" t="n">
        <x:v>4000</x:v>
      </x:c>
      <x:c r="F982" s="7" t="n">
        <x:v>2</x:v>
      </x:c>
      <x:c r="G982" s="2" t="str">
        <x:v>기혼</x:v>
      </x:c>
      <x:c r="H982" s="7" t="n">
        <x:v>0</x:v>
      </x:c>
      <x:c r="I982" s="2" t="str">
        <x:f>IF(H982&lt;3,H982&amp;"명","3명 이상")</x:f>
        <x:v>0명</x:v>
      </x:c>
      <x:c r="J982" s="2" t="str">
        <x:v>흡연</x:v>
      </x:c>
      <x:c r="K982" s="2" t="str">
        <x:v>고혈압</x:v>
      </x:c>
      <x:c r="L982" s="2" t="str">
        <x:v>암</x:v>
      </x:c>
      <x:c r="M982" s="2" t="str">
        <x:v>수호천사 암/건강보험</x:v>
      </x:c>
      <x:c r="N982" s="2" t="str">
        <x:f>VLOOKUP(M982,'분류기준'!$A$5:$B$8,2,FALSE)</x:f>
        <x:v>암/건강보험</x:v>
      </x:c>
      <x:c r="O982" s="2" t="str">
        <x:v>표적항암약물허가치료 특약</x:v>
      </x:c>
      <x:c r="P982" s="2" t="str">
        <x:f>IF(O982="선택 안함","선택 안함",IF(O982="특약 없음","특약 없음","가입"))</x:f>
        <x:v>가입</x:v>
      </x:c>
      <x:c r="Q982" s="2" t="str">
        <x:f>IF(P982="가입","가입","미가입")</x:f>
        <x:v>가입</x:v>
      </x:c>
    </x:row>
    <x:row r="983" ht="23" customHeight="1">
      <x:c r="A983" s="2" t="str">
        <x:v>C0647</x:v>
      </x:c>
      <x:c r="B983" s="7" t="n">
        <x:v>64</x:v>
      </x:c>
      <x:c r="C983" s="2" t="str">
        <x:f>INT(B983/10)*10&amp;"대"</x:f>
        <x:v>60대</x:v>
      </x:c>
      <x:c r="D983" s="2" t="str">
        <x:v>남성</x:v>
      </x:c>
      <x:c r="E983" s="7" t="n">
        <x:v>7500</x:v>
      </x:c>
      <x:c r="F983" s="7" t="n">
        <x:v>1</x:v>
      </x:c>
      <x:c r="G983" s="2" t="str">
        <x:v>기혼</x:v>
      </x:c>
      <x:c r="H983" s="7" t="n">
        <x:v>0</x:v>
      </x:c>
      <x:c r="I983" s="2" t="str">
        <x:f>IF(H983&lt;3,H983&amp;"명","3명 이상")</x:f>
        <x:v>0명</x:v>
      </x:c>
      <x:c r="J983" s="2" t="str">
        <x:v>비흡연</x:v>
      </x:c>
      <x:c r="K983" s="2" t="str">
        <x:v>고혈압</x:v>
      </x:c>
      <x:c r="L983" s="2" t="str">
        <x:v>암</x:v>
      </x:c>
      <x:c r="M983" s="2" t="str">
        <x:v>수호천사 행복 연금보험</x:v>
      </x:c>
      <x:c r="N983" s="2" t="str">
        <x:f>VLOOKUP(M983,'분류기준'!$A$5:$B$8,2,FALSE)</x:f>
        <x:v>연금보험</x:v>
      </x:c>
      <x:c r="O983" s="2" t="str">
        <x:v>특약 없음</x:v>
      </x:c>
      <x:c r="P983" s="2" t="str">
        <x:f>IF(O983="선택 안함","선택 안함",IF(O983="특약 없음","특약 없음","가입"))</x:f>
        <x:v>특약 없음</x:v>
      </x:c>
      <x:c r="Q983" s="2" t="str">
        <x:f>IF(P983="가입","가입","미가입")</x:f>
        <x:v>미가입</x:v>
      </x:c>
    </x:row>
    <x:row r="984" ht="23" customHeight="1">
      <x:c r="A984" s="2" t="str">
        <x:v>C0704</x:v>
      </x:c>
      <x:c r="B984" s="7" t="n">
        <x:v>64</x:v>
      </x:c>
      <x:c r="C984" s="2" t="str">
        <x:f>INT(B984/10)*10&amp;"대"</x:f>
        <x:v>60대</x:v>
      </x:c>
      <x:c r="D984" s="2" t="str">
        <x:v>남성</x:v>
      </x:c>
      <x:c r="E984" s="7" t="n">
        <x:v>4000</x:v>
      </x:c>
      <x:c r="F984" s="7" t="n">
        <x:v>3</x:v>
      </x:c>
      <x:c r="G984" s="2" t="str">
        <x:v>기혼</x:v>
      </x:c>
      <x:c r="H984" s="7" t="n">
        <x:v>0</x:v>
      </x:c>
      <x:c r="I984" s="2" t="str">
        <x:f>IF(H984&lt;3,H984&amp;"명","3명 이상")</x:f>
        <x:v>0명</x:v>
      </x:c>
      <x:c r="J984" s="2" t="str">
        <x:v>비흡연</x:v>
      </x:c>
      <x:c r="K984" s="2" t="str">
        <x:v>없음</x:v>
      </x:c>
      <x:c r="L984" s="2" t="str">
        <x:v>심혈관</x:v>
      </x:c>
      <x:c r="M984" s="2" t="str">
        <x:v>수호천사 행복 연금보험</x:v>
      </x:c>
      <x:c r="N984" s="2" t="str">
        <x:f>VLOOKUP(M984,'분류기준'!$A$5:$B$8,2,FALSE)</x:f>
        <x:v>연금보험</x:v>
      </x:c>
      <x:c r="O984" s="2" t="str">
        <x:v>특약 없음</x:v>
      </x:c>
      <x:c r="P984" s="2" t="str">
        <x:f>IF(O984="선택 안함","선택 안함",IF(O984="특약 없음","특약 없음","가입"))</x:f>
        <x:v>특약 없음</x:v>
      </x:c>
      <x:c r="Q984" s="2" t="str">
        <x:f>IF(P984="가입","가입","미가입")</x:f>
        <x:v>미가입</x:v>
      </x:c>
    </x:row>
    <x:row r="985" ht="23" customHeight="1">
      <x:c r="A985" s="2" t="str">
        <x:v>C0743</x:v>
      </x:c>
      <x:c r="B985" s="7" t="n">
        <x:v>64</x:v>
      </x:c>
      <x:c r="C985" s="2" t="str">
        <x:f>INT(B985/10)*10&amp;"대"</x:f>
        <x:v>60대</x:v>
      </x:c>
      <x:c r="D985" s="2" t="str">
        <x:v>남성</x:v>
      </x:c>
      <x:c r="E985" s="7" t="n">
        <x:v>6000</x:v>
      </x:c>
      <x:c r="F985" s="7" t="n">
        <x:v>1</x:v>
      </x:c>
      <x:c r="G985" s="2" t="str">
        <x:v>기혼</x:v>
      </x:c>
      <x:c r="H985" s="7" t="n">
        <x:v>0</x:v>
      </x:c>
      <x:c r="I985" s="2" t="str">
        <x:f>IF(H985&lt;3,H985&amp;"명","3명 이상")</x:f>
        <x:v>0명</x:v>
      </x:c>
      <x:c r="J985" s="2" t="str">
        <x:v>비흡연</x:v>
      </x:c>
      <x:c r="K985" s="2" t="str">
        <x:v>없음</x:v>
      </x:c>
      <x:c r="L985" s="2" t="str">
        <x:v>없음</x:v>
      </x:c>
      <x:c r="M985" s="2" t="str">
        <x:v>수호천사 행복 연금보험</x:v>
      </x:c>
      <x:c r="N985" s="2" t="str">
        <x:f>VLOOKUP(M985,'분류기준'!$A$5:$B$8,2,FALSE)</x:f>
        <x:v>연금보험</x:v>
      </x:c>
      <x:c r="O985" s="2" t="str">
        <x:v>특약 없음</x:v>
      </x:c>
      <x:c r="P985" s="2" t="str">
        <x:f>IF(O985="선택 안함","선택 안함",IF(O985="특약 없음","특약 없음","가입"))</x:f>
        <x:v>특약 없음</x:v>
      </x:c>
      <x:c r="Q985" s="2" t="str">
        <x:f>IF(P985="가입","가입","미가입")</x:f>
        <x:v>미가입</x:v>
      </x:c>
    </x:row>
    <x:row r="986" ht="23" customHeight="1">
      <x:c r="A986" s="2" t="str">
        <x:v>C0839</x:v>
      </x:c>
      <x:c r="B986" s="7" t="n">
        <x:v>64</x:v>
      </x:c>
      <x:c r="C986" s="2" t="str">
        <x:f>INT(B986/10)*10&amp;"대"</x:f>
        <x:v>60대</x:v>
      </x:c>
      <x:c r="D986" s="2" t="str">
        <x:v>남성</x:v>
      </x:c>
      <x:c r="E986" s="7" t="n">
        <x:v>5000</x:v>
      </x:c>
      <x:c r="F986" s="7" t="n">
        <x:v>2</x:v>
      </x:c>
      <x:c r="G986" s="2" t="str">
        <x:v>기혼</x:v>
      </x:c>
      <x:c r="H986" s="7" t="n">
        <x:v>0</x:v>
      </x:c>
      <x:c r="I986" s="2" t="str">
        <x:f>IF(H986&lt;3,H986&amp;"명","3명 이상")</x:f>
        <x:v>0명</x:v>
      </x:c>
      <x:c r="J986" s="2" t="str">
        <x:v>비흡연</x:v>
      </x:c>
      <x:c r="K986" s="2" t="str">
        <x:v>없음</x:v>
      </x:c>
      <x:c r="L986" s="2" t="str">
        <x:v>없음</x:v>
      </x:c>
      <x:c r="M986" s="2" t="str">
        <x:v>수호천사 행복 연금보험</x:v>
      </x:c>
      <x:c r="N986" s="2" t="str">
        <x:f>VLOOKUP(M986,'분류기준'!$A$5:$B$8,2,FALSE)</x:f>
        <x:v>연금보험</x:v>
      </x:c>
      <x:c r="O986" s="2" t="str">
        <x:v>특약 없음</x:v>
      </x:c>
      <x:c r="P986" s="2" t="str">
        <x:f>IF(O986="선택 안함","선택 안함",IF(O986="특약 없음","특약 없음","가입"))</x:f>
        <x:v>특약 없음</x:v>
      </x:c>
      <x:c r="Q986" s="2" t="str">
        <x:f>IF(P986="가입","가입","미가입")</x:f>
        <x:v>미가입</x:v>
      </x:c>
    </x:row>
    <x:row r="987" ht="23" customHeight="1">
      <x:c r="A987" s="2" t="str">
        <x:v>C0861</x:v>
      </x:c>
      <x:c r="B987" s="7" t="n">
        <x:v>64</x:v>
      </x:c>
      <x:c r="C987" s="2" t="str">
        <x:f>INT(B987/10)*10&amp;"대"</x:f>
        <x:v>60대</x:v>
      </x:c>
      <x:c r="D987" s="2" t="str">
        <x:v>남성</x:v>
      </x:c>
      <x:c r="E987" s="7" t="n">
        <x:v>5000</x:v>
      </x:c>
      <x:c r="F987" s="7" t="n">
        <x:v>2</x:v>
      </x:c>
      <x:c r="G987" s="2" t="str">
        <x:v>기혼</x:v>
      </x:c>
      <x:c r="H987" s="7" t="n">
        <x:v>1</x:v>
      </x:c>
      <x:c r="I987" s="2" t="str">
        <x:f>IF(H987&lt;3,H987&amp;"명","3명 이상")</x:f>
        <x:v>1명</x:v>
      </x:c>
      <x:c r="J987" s="2" t="str">
        <x:v>비흡연</x:v>
      </x:c>
      <x:c r="K987" s="2" t="str">
        <x:v>고혈압</x:v>
      </x:c>
      <x:c r="L987" s="2" t="str">
        <x:v>없음</x:v>
      </x:c>
      <x:c r="M987" s="2" t="str">
        <x:v>수호천사 행복 연금보험</x:v>
      </x:c>
      <x:c r="N987" s="2" t="str">
        <x:f>VLOOKUP(M987,'분류기준'!$A$5:$B$8,2,FALSE)</x:f>
        <x:v>연금보험</x:v>
      </x:c>
      <x:c r="O987" s="2" t="str">
        <x:v>특약 없음</x:v>
      </x:c>
      <x:c r="P987" s="2" t="str">
        <x:f>IF(O987="선택 안함","선택 안함",IF(O987="특약 없음","특약 없음","가입"))</x:f>
        <x:v>특약 없음</x:v>
      </x:c>
      <x:c r="Q987" s="2" t="str">
        <x:f>IF(P987="가입","가입","미가입")</x:f>
        <x:v>미가입</x:v>
      </x:c>
    </x:row>
    <x:row r="988" ht="23" customHeight="1">
      <x:c r="A988" s="2" t="str">
        <x:v>C0869</x:v>
      </x:c>
      <x:c r="B988" s="7" t="n">
        <x:v>64</x:v>
      </x:c>
      <x:c r="C988" s="2" t="str">
        <x:f>INT(B988/10)*10&amp;"대"</x:f>
        <x:v>60대</x:v>
      </x:c>
      <x:c r="D988" s="2" t="str">
        <x:v>남성</x:v>
      </x:c>
      <x:c r="E988" s="7" t="n">
        <x:v>4000</x:v>
      </x:c>
      <x:c r="F988" s="7" t="n">
        <x:v>1</x:v>
      </x:c>
      <x:c r="G988" s="2" t="str">
        <x:v>기혼</x:v>
      </x:c>
      <x:c r="H988" s="7" t="n">
        <x:v>1</x:v>
      </x:c>
      <x:c r="I988" s="2" t="str">
        <x:f>IF(H988&lt;3,H988&amp;"명","3명 이상")</x:f>
        <x:v>1명</x:v>
      </x:c>
      <x:c r="J988" s="2" t="str">
        <x:v>비흡연</x:v>
      </x:c>
      <x:c r="K988" s="2" t="str">
        <x:v>당뇨</x:v>
      </x:c>
      <x:c r="L988" s="2" t="str">
        <x:v>없음</x:v>
      </x:c>
      <x:c r="M988" s="2" t="str">
        <x:v>수호천사 간편심사(유병자)보험</x:v>
      </x:c>
      <x:c r="N988" s="2" t="str">
        <x:f>VLOOKUP(M988,'분류기준'!$A$5:$B$8,2,FALSE)</x:f>
        <x:v>간편심사보험</x:v>
      </x:c>
      <x:c r="O988" s="2" t="str">
        <x:v>중증질환 산정특례 보장 특약</x:v>
      </x:c>
      <x:c r="P988" s="2" t="str">
        <x:f>IF(O988="선택 안함","선택 안함",IF(O988="특약 없음","특약 없음","가입"))</x:f>
        <x:v>가입</x:v>
      </x:c>
      <x:c r="Q988" s="2" t="str">
        <x:f>IF(P988="가입","가입","미가입")</x:f>
        <x:v>가입</x:v>
      </x:c>
    </x:row>
    <x:row r="989" ht="23" customHeight="1">
      <x:c r="A989" s="2" t="str">
        <x:v>C0893</x:v>
      </x:c>
      <x:c r="B989" s="7" t="n">
        <x:v>64</x:v>
      </x:c>
      <x:c r="C989" s="2" t="str">
        <x:f>INT(B989/10)*10&amp;"대"</x:f>
        <x:v>60대</x:v>
      </x:c>
      <x:c r="D989" s="2" t="str">
        <x:v>남성</x:v>
      </x:c>
      <x:c r="E989" s="7" t="n">
        <x:v>7500</x:v>
      </x:c>
      <x:c r="F989" s="7" t="n">
        <x:v>1</x:v>
      </x:c>
      <x:c r="G989" s="2" t="str">
        <x:v>기혼</x:v>
      </x:c>
      <x:c r="H989" s="7" t="n">
        <x:v>1</x:v>
      </x:c>
      <x:c r="I989" s="2" t="str">
        <x:f>IF(H989&lt;3,H989&amp;"명","3명 이상")</x:f>
        <x:v>1명</x:v>
      </x:c>
      <x:c r="J989" s="2" t="str">
        <x:v>흡연</x:v>
      </x:c>
      <x:c r="K989" s="2" t="str">
        <x:v>고혈압</x:v>
      </x:c>
      <x:c r="L989" s="2" t="str">
        <x:v>심혈관</x:v>
      </x:c>
      <x:c r="M989" s="2" t="str">
        <x:v>수호천사 암/건강보험</x:v>
      </x:c>
      <x:c r="N989" s="2" t="str">
        <x:f>VLOOKUP(M989,'분류기준'!$A$5:$B$8,2,FALSE)</x:f>
        <x:v>암/건강보험</x:v>
      </x:c>
      <x:c r="O989" s="2" t="str">
        <x:v>표적항암약물허가치료 특약</x:v>
      </x:c>
      <x:c r="P989" s="2" t="str">
        <x:f>IF(O989="선택 안함","선택 안함",IF(O989="특약 없음","특약 없음","가입"))</x:f>
        <x:v>가입</x:v>
      </x:c>
      <x:c r="Q989" s="2" t="str">
        <x:f>IF(P989="가입","가입","미가입")</x:f>
        <x:v>가입</x:v>
      </x:c>
    </x:row>
    <x:row r="990" ht="23" customHeight="1">
      <x:c r="A990" s="2" t="str">
        <x:v>C0908</x:v>
      </x:c>
      <x:c r="B990" s="7" t="n">
        <x:v>64</x:v>
      </x:c>
      <x:c r="C990" s="2" t="str">
        <x:f>INT(B990/10)*10&amp;"대"</x:f>
        <x:v>60대</x:v>
      </x:c>
      <x:c r="D990" s="2" t="str">
        <x:v>남성</x:v>
      </x:c>
      <x:c r="E990" s="7" t="n">
        <x:v>7500</x:v>
      </x:c>
      <x:c r="F990" s="7" t="n">
        <x:v>1</x:v>
      </x:c>
      <x:c r="G990" s="2" t="str">
        <x:v>기혼</x:v>
      </x:c>
      <x:c r="H990" s="7" t="n">
        <x:v>2</x:v>
      </x:c>
      <x:c r="I990" s="2" t="str">
        <x:f>IF(H990&lt;3,H990&amp;"명","3명 이상")</x:f>
        <x:v>2명</x:v>
      </x:c>
      <x:c r="J990" s="2" t="str">
        <x:v>흡연</x:v>
      </x:c>
      <x:c r="K990" s="2" t="str">
        <x:v>고혈압</x:v>
      </x:c>
      <x:c r="L990" s="2" t="str">
        <x:v>암</x:v>
      </x:c>
      <x:c r="M990" s="2" t="str">
        <x:v>수호천사 간편심사(유병자)보험</x:v>
      </x:c>
      <x:c r="N990" s="2" t="str">
        <x:f>VLOOKUP(M990,'분류기준'!$A$5:$B$8,2,FALSE)</x:f>
        <x:v>간편심사보험</x:v>
      </x:c>
      <x:c r="O990" s="2" t="str">
        <x:v>선택 안함</x:v>
      </x:c>
      <x:c r="P990" s="2" t="str">
        <x:f>IF(O990="선택 안함","선택 안함",IF(O990="특약 없음","특약 없음","가입"))</x:f>
        <x:v>선택 안함</x:v>
      </x:c>
      <x:c r="Q990" s="2" t="str">
        <x:f>IF(P990="가입","가입","미가입")</x:f>
        <x:v>미가입</x:v>
      </x:c>
    </x:row>
    <x:row r="991" ht="23" customHeight="1">
      <x:c r="A991" s="2" t="str">
        <x:v>C0945</x:v>
      </x:c>
      <x:c r="B991" s="7" t="n">
        <x:v>64</x:v>
      </x:c>
      <x:c r="C991" s="2" t="str">
        <x:f>INT(B991/10)*10&amp;"대"</x:f>
        <x:v>60대</x:v>
      </x:c>
      <x:c r="D991" s="2" t="str">
        <x:v>남성</x:v>
      </x:c>
      <x:c r="E991" s="7" t="n">
        <x:v>3000</x:v>
      </x:c>
      <x:c r="F991" s="7" t="n">
        <x:v>2</x:v>
      </x:c>
      <x:c r="G991" s="2" t="str">
        <x:v>기혼</x:v>
      </x:c>
      <x:c r="H991" s="7" t="n">
        <x:v>1</x:v>
      </x:c>
      <x:c r="I991" s="2" t="str">
        <x:f>IF(H991&lt;3,H991&amp;"명","3명 이상")</x:f>
        <x:v>1명</x:v>
      </x:c>
      <x:c r="J991" s="2" t="str">
        <x:v>흡연</x:v>
      </x:c>
      <x:c r="K991" s="2" t="str">
        <x:v>없음</x:v>
      </x:c>
      <x:c r="L991" s="2" t="str">
        <x:v>없음</x:v>
      </x:c>
      <x:c r="M991" s="2" t="str">
        <x:v>수호천사 암/건강보험</x:v>
      </x:c>
      <x:c r="N991" s="2" t="str">
        <x:f>VLOOKUP(M991,'분류기준'!$A$5:$B$8,2,FALSE)</x:f>
        <x:v>암/건강보험</x:v>
      </x:c>
      <x:c r="O991" s="2" t="str">
        <x:v>표적항암약물허가치료 특약</x:v>
      </x:c>
      <x:c r="P991" s="2" t="str">
        <x:f>IF(O991="선택 안함","선택 안함",IF(O991="특약 없음","특약 없음","가입"))</x:f>
        <x:v>가입</x:v>
      </x:c>
      <x:c r="Q991" s="2" t="str">
        <x:f>IF(P991="가입","가입","미가입")</x:f>
        <x:v>가입</x:v>
      </x:c>
    </x:row>
    <x:row r="992" ht="23" customHeight="1">
      <x:c r="A992" s="2" t="str">
        <x:v>C0288</x:v>
      </x:c>
      <x:c r="B992" s="7" t="n">
        <x:v>65</x:v>
      </x:c>
      <x:c r="C992" s="2" t="str">
        <x:f>INT(B992/10)*10&amp;"대"</x:f>
        <x:v>60대</x:v>
      </x:c>
      <x:c r="D992" s="2" t="str">
        <x:v>여성</x:v>
      </x:c>
      <x:c r="E992" s="7" t="n">
        <x:v>3000</x:v>
      </x:c>
      <x:c r="F992" s="7" t="n">
        <x:v>1</x:v>
      </x:c>
      <x:c r="G992" s="2" t="str">
        <x:v>기혼</x:v>
      </x:c>
      <x:c r="H992" s="7" t="n">
        <x:v>1</x:v>
      </x:c>
      <x:c r="I992" s="2" t="str">
        <x:f>IF(H992&lt;3,H992&amp;"명","3명 이상")</x:f>
        <x:v>1명</x:v>
      </x:c>
      <x:c r="J992" s="2" t="str">
        <x:v>비흡연</x:v>
      </x:c>
      <x:c r="K992" s="2" t="str">
        <x:v>당뇨</x:v>
      </x:c>
      <x:c r="L992" s="2" t="str">
        <x:v>암</x:v>
      </x:c>
      <x:c r="M992" s="2" t="str">
        <x:v>수호천사 간편심사(유병자)보험</x:v>
      </x:c>
      <x:c r="N992" s="2" t="str">
        <x:f>VLOOKUP(M992,'분류기준'!$A$5:$B$8,2,FALSE)</x:f>
        <x:v>간편심사보험</x:v>
      </x:c>
      <x:c r="O992" s="2" t="str">
        <x:v>중증질환 산정특례 보장 특약</x:v>
      </x:c>
      <x:c r="P992" s="2" t="str">
        <x:f>IF(O992="선택 안함","선택 안함",IF(O992="특약 없음","특약 없음","가입"))</x:f>
        <x:v>가입</x:v>
      </x:c>
      <x:c r="Q992" s="2" t="str">
        <x:f>IF(P992="가입","가입","미가입")</x:f>
        <x:v>가입</x:v>
      </x:c>
    </x:row>
    <x:row r="993" ht="23" customHeight="1">
      <x:c r="A993" s="2" t="str">
        <x:v>C0309</x:v>
      </x:c>
      <x:c r="B993" s="7" t="n">
        <x:v>65</x:v>
      </x:c>
      <x:c r="C993" s="2" t="str">
        <x:f>INT(B993/10)*10&amp;"대"</x:f>
        <x:v>60대</x:v>
      </x:c>
      <x:c r="D993" s="2" t="str">
        <x:v>남성</x:v>
      </x:c>
      <x:c r="E993" s="7" t="n">
        <x:v>4000</x:v>
      </x:c>
      <x:c r="F993" s="7" t="n">
        <x:v>2</x:v>
      </x:c>
      <x:c r="G993" s="2" t="str">
        <x:v>기혼</x:v>
      </x:c>
      <x:c r="H993" s="7" t="n">
        <x:v>2</x:v>
      </x:c>
      <x:c r="I993" s="2" t="str">
        <x:f>IF(H993&lt;3,H993&amp;"명","3명 이상")</x:f>
        <x:v>2명</x:v>
      </x:c>
      <x:c r="J993" s="2" t="str">
        <x:v>비흡연</x:v>
      </x:c>
      <x:c r="K993" s="2" t="str">
        <x:v>없음</x:v>
      </x:c>
      <x:c r="L993" s="2" t="str">
        <x:v>없음</x:v>
      </x:c>
      <x:c r="M993" s="2" t="str">
        <x:v>수호천사 행복 연금보험</x:v>
      </x:c>
      <x:c r="N993" s="2" t="str">
        <x:f>VLOOKUP(M993,'분류기준'!$A$5:$B$8,2,FALSE)</x:f>
        <x:v>연금보험</x:v>
      </x:c>
      <x:c r="O993" s="2" t="str">
        <x:v>특약 없음</x:v>
      </x:c>
      <x:c r="P993" s="2" t="str">
        <x:f>IF(O993="선택 안함","선택 안함",IF(O993="특약 없음","특약 없음","가입"))</x:f>
        <x:v>특약 없음</x:v>
      </x:c>
      <x:c r="Q993" s="2" t="str">
        <x:f>IF(P993="가입","가입","미가입")</x:f>
        <x:v>미가입</x:v>
      </x:c>
    </x:row>
    <x:row r="994" ht="23" customHeight="1">
      <x:c r="A994" s="2" t="str">
        <x:v>C0332</x:v>
      </x:c>
      <x:c r="B994" s="7" t="n">
        <x:v>65</x:v>
      </x:c>
      <x:c r="C994" s="2" t="str">
        <x:f>INT(B994/10)*10&amp;"대"</x:f>
        <x:v>60대</x:v>
      </x:c>
      <x:c r="D994" s="2" t="str">
        <x:v>남성</x:v>
      </x:c>
      <x:c r="E994" s="7" t="n">
        <x:v>4000</x:v>
      </x:c>
      <x:c r="F994" s="7" t="n">
        <x:v>1</x:v>
      </x:c>
      <x:c r="G994" s="2" t="str">
        <x:v>기혼</x:v>
      </x:c>
      <x:c r="H994" s="7" t="n">
        <x:v>1</x:v>
      </x:c>
      <x:c r="I994" s="2" t="str">
        <x:f>IF(H994&lt;3,H994&amp;"명","3명 이상")</x:f>
        <x:v>1명</x:v>
      </x:c>
      <x:c r="J994" s="2" t="str">
        <x:v>흡연</x:v>
      </x:c>
      <x:c r="K994" s="2" t="str">
        <x:v>없음</x:v>
      </x:c>
      <x:c r="L994" s="2" t="str">
        <x:v>없음</x:v>
      </x:c>
      <x:c r="M994" s="2" t="str">
        <x:v>수호천사 암/건강보험</x:v>
      </x:c>
      <x:c r="N994" s="2" t="str">
        <x:f>VLOOKUP(M994,'분류기준'!$A$5:$B$8,2,FALSE)</x:f>
        <x:v>암/건강보험</x:v>
      </x:c>
      <x:c r="O994" s="2" t="str">
        <x:v>수술비 보장 특약</x:v>
      </x:c>
      <x:c r="P994" s="2" t="str">
        <x:f>IF(O994="선택 안함","선택 안함",IF(O994="특약 없음","특약 없음","가입"))</x:f>
        <x:v>가입</x:v>
      </x:c>
      <x:c r="Q994" s="2" t="str">
        <x:f>IF(P994="가입","가입","미가입")</x:f>
        <x:v>가입</x:v>
      </x:c>
    </x:row>
    <x:row r="995" ht="23" customHeight="1">
      <x:c r="A995" s="2" t="str">
        <x:v>C0339</x:v>
      </x:c>
      <x:c r="B995" s="7" t="n">
        <x:v>65</x:v>
      </x:c>
      <x:c r="C995" s="2" t="str">
        <x:f>INT(B995/10)*10&amp;"대"</x:f>
        <x:v>60대</x:v>
      </x:c>
      <x:c r="D995" s="2" t="str">
        <x:v>남성</x:v>
      </x:c>
      <x:c r="E995" s="7" t="n">
        <x:v>3000</x:v>
      </x:c>
      <x:c r="F995" s="7" t="n">
        <x:v>1</x:v>
      </x:c>
      <x:c r="G995" s="2" t="str">
        <x:v>기혼</x:v>
      </x:c>
      <x:c r="H995" s="7" t="n">
        <x:v>0</x:v>
      </x:c>
      <x:c r="I995" s="2" t="str">
        <x:f>IF(H995&lt;3,H995&amp;"명","3명 이상")</x:f>
        <x:v>0명</x:v>
      </x:c>
      <x:c r="J995" s="2" t="str">
        <x:v>비흡연</x:v>
      </x:c>
      <x:c r="K995" s="2" t="str">
        <x:v>당뇨</x:v>
      </x:c>
      <x:c r="L995" s="2" t="str">
        <x:v>없음</x:v>
      </x:c>
      <x:c r="M995" s="2" t="str">
        <x:v>수호천사 행복 연금보험</x:v>
      </x:c>
      <x:c r="N995" s="2" t="str">
        <x:f>VLOOKUP(M995,'분류기준'!$A$5:$B$8,2,FALSE)</x:f>
        <x:v>연금보험</x:v>
      </x:c>
      <x:c r="O995" s="2" t="str">
        <x:v>특약 없음</x:v>
      </x:c>
      <x:c r="P995" s="2" t="str">
        <x:f>IF(O995="선택 안함","선택 안함",IF(O995="특약 없음","특약 없음","가입"))</x:f>
        <x:v>특약 없음</x:v>
      </x:c>
      <x:c r="Q995" s="2" t="str">
        <x:f>IF(P995="가입","가입","미가입")</x:f>
        <x:v>미가입</x:v>
      </x:c>
    </x:row>
    <x:row r="996" ht="23" customHeight="1">
      <x:c r="A996" s="2" t="str">
        <x:v>C0354</x:v>
      </x:c>
      <x:c r="B996" s="7" t="n">
        <x:v>65</x:v>
      </x:c>
      <x:c r="C996" s="2" t="str">
        <x:f>INT(B996/10)*10&amp;"대"</x:f>
        <x:v>60대</x:v>
      </x:c>
      <x:c r="D996" s="2" t="str">
        <x:v>남성</x:v>
      </x:c>
      <x:c r="E996" s="7" t="n">
        <x:v>9000</x:v>
      </x:c>
      <x:c r="F996" s="7" t="n">
        <x:v>1</x:v>
      </x:c>
      <x:c r="G996" s="2" t="str">
        <x:v>기혼</x:v>
      </x:c>
      <x:c r="H996" s="7" t="n">
        <x:v>2</x:v>
      </x:c>
      <x:c r="I996" s="2" t="str">
        <x:f>IF(H996&lt;3,H996&amp;"명","3명 이상")</x:f>
        <x:v>2명</x:v>
      </x:c>
      <x:c r="J996" s="2" t="str">
        <x:v>비흡연</x:v>
      </x:c>
      <x:c r="K996" s="2" t="str">
        <x:v>없음</x:v>
      </x:c>
      <x:c r="L996" s="2" t="str">
        <x:v>없음</x:v>
      </x:c>
      <x:c r="M996" s="2" t="str">
        <x:v>수호천사 암/건강보험</x:v>
      </x:c>
      <x:c r="N996" s="2" t="str">
        <x:f>VLOOKUP(M996,'분류기준'!$A$5:$B$8,2,FALSE)</x:f>
        <x:v>암/건강보험</x:v>
      </x:c>
      <x:c r="O996" s="2" t="str">
        <x:v>선택 안함</x:v>
      </x:c>
      <x:c r="P996" s="2" t="str">
        <x:f>IF(O996="선택 안함","선택 안함",IF(O996="특약 없음","특약 없음","가입"))</x:f>
        <x:v>선택 안함</x:v>
      </x:c>
      <x:c r="Q996" s="2" t="str">
        <x:f>IF(P996="가입","가입","미가입")</x:f>
        <x:v>미가입</x:v>
      </x:c>
    </x:row>
    <x:row r="997" ht="23" customHeight="1">
      <x:c r="A997" s="2" t="str">
        <x:v>C0383</x:v>
      </x:c>
      <x:c r="B997" s="7" t="n">
        <x:v>65</x:v>
      </x:c>
      <x:c r="C997" s="2" t="str">
        <x:f>INT(B997/10)*10&amp;"대"</x:f>
        <x:v>60대</x:v>
      </x:c>
      <x:c r="D997" s="2" t="str">
        <x:v>남성</x:v>
      </x:c>
      <x:c r="E997" s="7" t="n">
        <x:v>5000</x:v>
      </x:c>
      <x:c r="F997" s="7" t="n">
        <x:v>1</x:v>
      </x:c>
      <x:c r="G997" s="2" t="str">
        <x:v>기혼</x:v>
      </x:c>
      <x:c r="H997" s="7" t="n">
        <x:v>1</x:v>
      </x:c>
      <x:c r="I997" s="2" t="str">
        <x:f>IF(H997&lt;3,H997&amp;"명","3명 이상")</x:f>
        <x:v>1명</x:v>
      </x:c>
      <x:c r="J997" s="2" t="str">
        <x:v>비흡연</x:v>
      </x:c>
      <x:c r="K997" s="2" t="str">
        <x:v>고혈압</x:v>
      </x:c>
      <x:c r="L997" s="2" t="str">
        <x:v>없음</x:v>
      </x:c>
      <x:c r="M997" s="2" t="str">
        <x:v>수호천사 우리가족 종신보험</x:v>
      </x:c>
      <x:c r="N997" s="2" t="str">
        <x:f>VLOOKUP(M997,'분류기준'!$A$5:$B$8,2,FALSE)</x:f>
        <x:v>종신보험</x:v>
      </x:c>
      <x:c r="O997" s="2" t="str">
        <x:v>가족 수입 보장 특약</x:v>
      </x:c>
      <x:c r="P997" s="2" t="str">
        <x:f>IF(O997="선택 안함","선택 안함",IF(O997="특약 없음","특약 없음","가입"))</x:f>
        <x:v>가입</x:v>
      </x:c>
      <x:c r="Q997" s="2" t="str">
        <x:f>IF(P997="가입","가입","미가입")</x:f>
        <x:v>가입</x:v>
      </x:c>
    </x:row>
    <x:row r="998" ht="23" customHeight="1">
      <x:c r="A998" s="2" t="str">
        <x:v>C0454</x:v>
      </x:c>
      <x:c r="B998" s="7" t="n">
        <x:v>65</x:v>
      </x:c>
      <x:c r="C998" s="2" t="str">
        <x:f>INT(B998/10)*10&amp;"대"</x:f>
        <x:v>60대</x:v>
      </x:c>
      <x:c r="D998" s="2" t="str">
        <x:v>남성</x:v>
      </x:c>
      <x:c r="E998" s="7" t="n">
        <x:v>3000</x:v>
      </x:c>
      <x:c r="F998" s="7" t="n">
        <x:v>2</x:v>
      </x:c>
      <x:c r="G998" s="2" t="str">
        <x:v>기혼</x:v>
      </x:c>
      <x:c r="H998" s="7" t="n">
        <x:v>0</x:v>
      </x:c>
      <x:c r="I998" s="2" t="str">
        <x:f>IF(H998&lt;3,H998&amp;"명","3명 이상")</x:f>
        <x:v>0명</x:v>
      </x:c>
      <x:c r="J998" s="2" t="str">
        <x:v>흡연</x:v>
      </x:c>
      <x:c r="K998" s="2" t="str">
        <x:v>고혈압</x:v>
      </x:c>
      <x:c r="L998" s="2" t="str">
        <x:v>없음</x:v>
      </x:c>
      <x:c r="M998" s="2" t="str">
        <x:v>수호천사 간편심사(유병자)보험</x:v>
      </x:c>
      <x:c r="N998" s="2" t="str">
        <x:f>VLOOKUP(M998,'분류기준'!$A$5:$B$8,2,FALSE)</x:f>
        <x:v>간편심사보험</x:v>
      </x:c>
      <x:c r="O998" s="2" t="str">
        <x:v>중증질환 산정특례 보장 특약</x:v>
      </x:c>
      <x:c r="P998" s="2" t="str">
        <x:f>IF(O998="선택 안함","선택 안함",IF(O998="특약 없음","특약 없음","가입"))</x:f>
        <x:v>가입</x:v>
      </x:c>
      <x:c r="Q998" s="2" t="str">
        <x:f>IF(P998="가입","가입","미가입")</x:f>
        <x:v>가입</x:v>
      </x:c>
    </x:row>
    <x:row r="999" ht="23" customHeight="1">
      <x:c r="A999" s="2" t="str">
        <x:v>C0506</x:v>
      </x:c>
      <x:c r="B999" s="7" t="n">
        <x:v>65</x:v>
      </x:c>
      <x:c r="C999" s="2" t="str">
        <x:f>INT(B999/10)*10&amp;"대"</x:f>
        <x:v>60대</x:v>
      </x:c>
      <x:c r="D999" s="2" t="str">
        <x:v>남성</x:v>
      </x:c>
      <x:c r="E999" s="7" t="n">
        <x:v>4000</x:v>
      </x:c>
      <x:c r="F999" s="7" t="n">
        <x:v>1</x:v>
      </x:c>
      <x:c r="G999" s="2" t="str">
        <x:v>기혼</x:v>
      </x:c>
      <x:c r="H999" s="7" t="n">
        <x:v>1</x:v>
      </x:c>
      <x:c r="I999" s="2" t="str">
        <x:f>IF(H999&lt;3,H999&amp;"명","3명 이상")</x:f>
        <x:v>1명</x:v>
      </x:c>
      <x:c r="J999" s="2" t="str">
        <x:v>비흡연</x:v>
      </x:c>
      <x:c r="K999" s="2" t="str">
        <x:v>없음</x:v>
      </x:c>
      <x:c r="L999" s="2" t="str">
        <x:v>없음</x:v>
      </x:c>
      <x:c r="M999" s="2" t="str">
        <x:v>수호천사 우리가족 종신보험</x:v>
      </x:c>
      <x:c r="N999" s="2" t="str">
        <x:f>VLOOKUP(M999,'분류기준'!$A$5:$B$8,2,FALSE)</x:f>
        <x:v>종신보험</x:v>
      </x:c>
      <x:c r="O999" s="2" t="str">
        <x:v>가족 수입 보장 특약</x:v>
      </x:c>
      <x:c r="P999" s="2" t="str">
        <x:f>IF(O999="선택 안함","선택 안함",IF(O999="특약 없음","특약 없음","가입"))</x:f>
        <x:v>가입</x:v>
      </x:c>
      <x:c r="Q999" s="2" t="str">
        <x:f>IF(P999="가입","가입","미가입")</x:f>
        <x:v>가입</x:v>
      </x:c>
    </x:row>
    <x:row r="1000" ht="23" customHeight="1">
      <x:c r="A1000" s="2" t="str">
        <x:v>C0595</x:v>
      </x:c>
      <x:c r="B1000" s="7" t="n">
        <x:v>65</x:v>
      </x:c>
      <x:c r="C1000" s="2" t="str">
        <x:f>INT(B1000/10)*10&amp;"대"</x:f>
        <x:v>60대</x:v>
      </x:c>
      <x:c r="D1000" s="2" t="str">
        <x:v>남성</x:v>
      </x:c>
      <x:c r="E1000" s="7" t="n">
        <x:v>4000</x:v>
      </x:c>
      <x:c r="F1000" s="7" t="n">
        <x:v>1</x:v>
      </x:c>
      <x:c r="G1000" s="2" t="str">
        <x:v>기혼</x:v>
      </x:c>
      <x:c r="H1000" s="7" t="n">
        <x:v>1</x:v>
      </x:c>
      <x:c r="I1000" s="2" t="str">
        <x:f>IF(H1000&lt;3,H1000&amp;"명","3명 이상")</x:f>
        <x:v>1명</x:v>
      </x:c>
      <x:c r="J1000" s="2" t="str">
        <x:v>비흡연</x:v>
      </x:c>
      <x:c r="K1000" s="2" t="str">
        <x:v>고혈압</x:v>
      </x:c>
      <x:c r="L1000" s="2" t="str">
        <x:v>없음</x:v>
      </x:c>
      <x:c r="M1000" s="2" t="str">
        <x:v>수호천사 행복 연금보험</x:v>
      </x:c>
      <x:c r="N1000" s="2" t="str">
        <x:f>VLOOKUP(M1000,'분류기준'!$A$5:$B$8,2,FALSE)</x:f>
        <x:v>연금보험</x:v>
      </x:c>
      <x:c r="O1000" s="2" t="str">
        <x:v>특약 없음</x:v>
      </x:c>
      <x:c r="P1000" s="2" t="str">
        <x:f>IF(O1000="선택 안함","선택 안함",IF(O1000="특약 없음","특약 없음","가입"))</x:f>
        <x:v>특약 없음</x:v>
      </x:c>
      <x:c r="Q1000" s="2" t="str">
        <x:f>IF(P1000="가입","가입","미가입")</x:f>
        <x:v>미가입</x:v>
      </x:c>
    </x:row>
    <x:row r="1001" ht="23" customHeight="1">
      <x:c r="A1001" s="2" t="str">
        <x:v>C0695</x:v>
      </x:c>
      <x:c r="B1001" s="7" t="n">
        <x:v>65</x:v>
      </x:c>
      <x:c r="C1001" s="2" t="str">
        <x:f>INT(B1001/10)*10&amp;"대"</x:f>
        <x:v>60대</x:v>
      </x:c>
      <x:c r="D1001" s="2" t="str">
        <x:v>남성</x:v>
      </x:c>
      <x:c r="E1001" s="7" t="n">
        <x:v>4000</x:v>
      </x:c>
      <x:c r="F1001" s="7" t="n">
        <x:v>1</x:v>
      </x:c>
      <x:c r="G1001" s="2" t="str">
        <x:v>기혼</x:v>
      </x:c>
      <x:c r="H1001" s="7" t="n">
        <x:v>1</x:v>
      </x:c>
      <x:c r="I1001" s="2" t="str">
        <x:f>IF(H1001&lt;3,H1001&amp;"명","3명 이상")</x:f>
        <x:v>1명</x:v>
      </x:c>
      <x:c r="J1001" s="2" t="str">
        <x:v>비흡연</x:v>
      </x:c>
      <x:c r="K1001" s="2" t="str">
        <x:v>없음</x:v>
      </x:c>
      <x:c r="L1001" s="2" t="str">
        <x:v>없음</x:v>
      </x:c>
      <x:c r="M1001" s="2" t="str">
        <x:v>수호천사 암/건강보험</x:v>
      </x:c>
      <x:c r="N1001" s="2" t="str">
        <x:f>VLOOKUP(M1001,'분류기준'!$A$5:$B$8,2,FALSE)</x:f>
        <x:v>암/건강보험</x:v>
      </x:c>
      <x:c r="O1001" s="2" t="str">
        <x:v>수술비 보장 특약</x:v>
      </x:c>
      <x:c r="P1001" s="2" t="str">
        <x:f>IF(O1001="선택 안함","선택 안함",IF(O1001="특약 없음","특약 없음","가입"))</x:f>
        <x:v>가입</x:v>
      </x:c>
      <x:c r="Q1001" s="2" t="str">
        <x:f>IF(P1001="가입","가입","미가입")</x:f>
        <x:v>가입</x:v>
      </x:c>
    </x:row>
    <x:row r="1002" ht="23" customHeight="1">
      <x:c r="A1002" s="2" t="str">
        <x:v>C0741</x:v>
      </x:c>
      <x:c r="B1002" s="7" t="n">
        <x:v>65</x:v>
      </x:c>
      <x:c r="C1002" s="2" t="str">
        <x:f>INT(B1002/10)*10&amp;"대"</x:f>
        <x:v>60대</x:v>
      </x:c>
      <x:c r="D1002" s="2" t="str">
        <x:v>남성</x:v>
      </x:c>
      <x:c r="E1002" s="7" t="n">
        <x:v>6000</x:v>
      </x:c>
      <x:c r="F1002" s="7" t="n">
        <x:v>1</x:v>
      </x:c>
      <x:c r="G1002" s="2" t="str">
        <x:v>기혼</x:v>
      </x:c>
      <x:c r="H1002" s="7" t="n">
        <x:v>1</x:v>
      </x:c>
      <x:c r="I1002" s="2" t="str">
        <x:f>IF(H1002&lt;3,H1002&amp;"명","3명 이상")</x:f>
        <x:v>1명</x:v>
      </x:c>
      <x:c r="J1002" s="2" t="str">
        <x:v>비흡연</x:v>
      </x:c>
      <x:c r="K1002" s="2" t="str">
        <x:v>없음</x:v>
      </x:c>
      <x:c r="L1002" s="2" t="str">
        <x:v>없음</x:v>
      </x:c>
      <x:c r="M1002" s="2" t="str">
        <x:v>수호천사 암/건강보험</x:v>
      </x:c>
      <x:c r="N1002" s="2" t="str">
        <x:f>VLOOKUP(M1002,'분류기준'!$A$5:$B$8,2,FALSE)</x:f>
        <x:v>암/건강보험</x:v>
      </x:c>
      <x:c r="O1002" s="2" t="str">
        <x:v>표적항암약물허가치료 특약</x:v>
      </x:c>
      <x:c r="P1002" s="2" t="str">
        <x:f>IF(O1002="선택 안함","선택 안함",IF(O1002="특약 없음","특약 없음","가입"))</x:f>
        <x:v>가입</x:v>
      </x:c>
      <x:c r="Q1002" s="2" t="str">
        <x:f>IF(P1002="가입","가입","미가입")</x:f>
        <x:v>가입</x:v>
      </x:c>
    </x:row>
    <x:row r="1003" ht="23" customHeight="1">
      <x:c r="A1003" s="2" t="str">
        <x:v>C0835</x:v>
      </x:c>
      <x:c r="B1003" s="7" t="n">
        <x:v>65</x:v>
      </x:c>
      <x:c r="C1003" s="2" t="str">
        <x:f>INT(B1003/10)*10&amp;"대"</x:f>
        <x:v>60대</x:v>
      </x:c>
      <x:c r="D1003" s="2" t="str">
        <x:v>남성</x:v>
      </x:c>
      <x:c r="E1003" s="7" t="n">
        <x:v>6000</x:v>
      </x:c>
      <x:c r="F1003" s="7" t="n">
        <x:v>2</x:v>
      </x:c>
      <x:c r="G1003" s="2" t="str">
        <x:v>기혼</x:v>
      </x:c>
      <x:c r="H1003" s="7" t="n">
        <x:v>1</x:v>
      </x:c>
      <x:c r="I1003" s="2" t="str">
        <x:f>IF(H1003&lt;3,H1003&amp;"명","3명 이상")</x:f>
        <x:v>1명</x:v>
      </x:c>
      <x:c r="J1003" s="2" t="str">
        <x:v>비흡연</x:v>
      </x:c>
      <x:c r="K1003" s="2" t="str">
        <x:v>당뇨</x:v>
      </x:c>
      <x:c r="L1003" s="2" t="str">
        <x:v>심혈관</x:v>
      </x:c>
      <x:c r="M1003" s="2" t="str">
        <x:v>수호천사 간편심사(유병자)보험</x:v>
      </x:c>
      <x:c r="N1003" s="2" t="str">
        <x:f>VLOOKUP(M1003,'분류기준'!$A$5:$B$8,2,FALSE)</x:f>
        <x:v>간편심사보험</x:v>
      </x:c>
      <x:c r="O1003" s="2" t="str">
        <x:v>중증질환 산정특례 보장 특약</x:v>
      </x:c>
      <x:c r="P1003" s="2" t="str">
        <x:f>IF(O1003="선택 안함","선택 안함",IF(O1003="특약 없음","특약 없음","가입"))</x:f>
        <x:v>가입</x:v>
      </x:c>
      <x:c r="Q1003" s="2" t="str">
        <x:f>IF(P1003="가입","가입","미가입")</x:f>
        <x:v>가입</x:v>
      </x:c>
    </x:row>
    <x:row r="1004" ht="23" customHeight="1">
      <x:c r="A1004" s="2" t="str">
        <x:v>C0867</x:v>
      </x:c>
      <x:c r="B1004" s="7" t="n">
        <x:v>65</x:v>
      </x:c>
      <x:c r="C1004" s="2" t="str">
        <x:f>INT(B1004/10)*10&amp;"대"</x:f>
        <x:v>60대</x:v>
      </x:c>
      <x:c r="D1004" s="2" t="str">
        <x:v>여성</x:v>
      </x:c>
      <x:c r="E1004" s="7" t="n">
        <x:v>4000</x:v>
      </x:c>
      <x:c r="F1004" s="7" t="n">
        <x:v>2</x:v>
      </x:c>
      <x:c r="G1004" s="2" t="str">
        <x:v>기혼</x:v>
      </x:c>
      <x:c r="H1004" s="7" t="n">
        <x:v>1</x:v>
      </x:c>
      <x:c r="I1004" s="2" t="str">
        <x:f>IF(H1004&lt;3,H1004&amp;"명","3명 이상")</x:f>
        <x:v>1명</x:v>
      </x:c>
      <x:c r="J1004" s="2" t="str">
        <x:v>비흡연</x:v>
      </x:c>
      <x:c r="K1004" s="2" t="str">
        <x:v>없음</x:v>
      </x:c>
      <x:c r="L1004" s="2" t="str">
        <x:v>심혈관</x:v>
      </x:c>
      <x:c r="M1004" s="2" t="str">
        <x:v>수호천사 암/건강보험</x:v>
      </x:c>
      <x:c r="N1004" s="2" t="str">
        <x:f>VLOOKUP(M1004,'분류기준'!$A$5:$B$8,2,FALSE)</x:f>
        <x:v>암/건강보험</x:v>
      </x:c>
      <x:c r="O1004" s="2" t="str">
        <x:v>표적항암약물허가치료 특약</x:v>
      </x:c>
      <x:c r="P1004" s="2" t="str">
        <x:f>IF(O1004="선택 안함","선택 안함",IF(O1004="특약 없음","특약 없음","가입"))</x:f>
        <x:v>가입</x:v>
      </x:c>
      <x:c r="Q1004" s="2" t="str">
        <x:f>IF(P1004="가입","가입","미가입")</x:f>
        <x:v>가입</x:v>
      </x:c>
    </x:row>
  </x:sheetData>
  <x:pageMargins left="0.7" right="0.7" top="0.75" bottom="0.75" header="0.3" footer="0.3"/>
  <x:tableParts count="1">
    <x:tablePart xmlns:r="http://schemas.openxmlformats.org/officeDocument/2006/relationships" r:id="Rd45116d31ae54e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48" hidden="0" customWidth="1"/>
    <x:col min="4" max="4" width="22" hidden="0" customWidth="1"/>
    <x:col min="5" max="5" width="42" hidden="0" customWidth="1"/>
  </x:cols>
  <x:sheetData>
    <x:row r="1" ht="24" customHeight="1">
      <x:c r="A1" s="2"/>
      <x:c r="B1" s="2"/>
      <x:c r="C1" s="2"/>
      <x:c r="D1" s="2"/>
      <x:c r="E1" s="2"/>
    </x:row>
    <x:row r="2" ht="32" customHeight="1">
      <x:c r="A2" s="4" t="str">
        <x:v>분류 기준 및 데이터 확인</x:v>
      </x:c>
      <x:c r="B2" s="5"/>
      <x:c r="C2" s="5"/>
      <x:c r="D2" s="5"/>
      <x:c r="E2" s="5"/>
    </x:row>
    <x:row r="3" ht="24" customHeight="1">
      <x:c r="A3" s="2"/>
      <x:c r="B3" s="2"/>
      <x:c r="C3" s="2"/>
      <x:c r="D3" s="2"/>
      <x:c r="E3" s="2"/>
    </x:row>
    <x:row r="4" ht="36" customHeight="1">
      <x:c r="A4" s="11" t="str">
        <x:v>CSV 가입상품</x:v>
      </x:c>
      <x:c r="B4" s="11" t="str">
        <x:v>상품분류</x:v>
      </x:c>
      <x:c r="C4" s="11" t="str">
        <x:v>PDF 표기</x:v>
      </x:c>
      <x:c r="D4" s="11" t="str">
        <x:v>PDF 쪽</x:v>
      </x:c>
      <x:c r="E4" s="11" t="str">
        <x:v>대응 기준</x:v>
      </x:c>
    </x:row>
    <x:row r="5" ht="25" customHeight="1">
      <x:c r="A5" s="12" t="str">
        <x:v>수호천사 암/건강보험</x:v>
      </x:c>
      <x:c r="B5" s="12" t="str">
        <x:v>암/건강보험</x:v>
      </x:c>
      <x:c r="C5" s="12" t="str">
        <x:v>무배당 수호천사 암/건강보험</x:v>
      </x:c>
      <x:c r="D5" s="12" t="str">
        <x:v>1~2</x:v>
      </x:c>
      <x:c r="E5" s="12" t="str">
        <x:v>무배당 접두어를 제외한 예시 상품명</x:v>
      </x:c>
    </x:row>
    <x:row r="6" ht="25" customHeight="1">
      <x:c r="A6" s="2" t="str">
        <x:v>수호천사 간편심사(유병자)보험</x:v>
      </x:c>
      <x:c r="B6" s="2" t="str">
        <x:v>간편심사보험</x:v>
      </x:c>
      <x:c r="C6" s="2" t="str">
        <x:v>무배당 수호천사 간편심사보험</x:v>
      </x:c>
      <x:c r="D6" s="2" t="str">
        <x:v>2~3</x:v>
      </x:c>
      <x:c r="E6" s="2" t="str">
        <x:v>문서 장 제목에 유병자 표기</x:v>
      </x:c>
    </x:row>
    <x:row r="7" ht="25" customHeight="1">
      <x:c r="A7" s="12" t="str">
        <x:v>수호천사 우리가족 종신보험</x:v>
      </x:c>
      <x:c r="B7" s="12" t="str">
        <x:v>종신보험</x:v>
      </x:c>
      <x:c r="C7" s="12" t="str">
        <x:v>무배당 수호천사 우리가족 종신보험</x:v>
      </x:c>
      <x:c r="D7" s="12" t="str">
        <x:v>3~4</x:v>
      </x:c>
      <x:c r="E7" s="12" t="str">
        <x:v>무배당 접두어를 제외한 예시 상품명</x:v>
      </x:c>
    </x:row>
    <x:row r="8" ht="25" customHeight="1">
      <x:c r="A8" s="2" t="str">
        <x:v>수호천사 행복 연금보험</x:v>
      </x:c>
      <x:c r="B8" s="2" t="str">
        <x:v>연금보험</x:v>
      </x:c>
      <x:c r="C8" s="2" t="str">
        <x:v>무배당 수호천사 행복 연금보험</x:v>
      </x:c>
      <x:c r="D8" s="2" t="str">
        <x:v>4~5</x:v>
      </x:c>
      <x:c r="E8" s="2" t="str">
        <x:v>무배당 접두어를 제외한 예시 상품명</x:v>
      </x:c>
    </x:row>
    <x:row r="9" ht="24" customHeight="1">
      <x:c r="A9" s="2"/>
      <x:c r="B9" s="2"/>
      <x:c r="C9" s="2"/>
      <x:c r="D9" s="2"/>
      <x:c r="E9" s="2"/>
    </x:row>
    <x:row r="10" ht="24" customHeight="1">
      <x:c r="A10" s="2"/>
      <x:c r="B10" s="2"/>
      <x:c r="C10" s="2"/>
      <x:c r="D10" s="2"/>
      <x:c r="E10" s="2"/>
    </x:row>
    <x:row r="11" ht="24" customHeight="1">
      <x:c r="A11" s="13" t="str">
        <x:v>특약 명칭 대응</x:v>
      </x:c>
      <x:c r="B11" s="2"/>
      <x:c r="C11" s="2"/>
      <x:c r="D11" s="2"/>
      <x:c r="E11" s="2"/>
    </x:row>
    <x:row r="12" ht="36" customHeight="1">
      <x:c r="A12" s="11" t="str">
        <x:v>CSV 가입특약</x:v>
      </x:c>
      <x:c r="B12" s="11" t="str">
        <x:v>상품분류</x:v>
      </x:c>
      <x:c r="C12" s="11" t="str">
        <x:v>PDF 표기</x:v>
      </x:c>
      <x:c r="D12" s="11" t="str">
        <x:v>PDF 쪽</x:v>
      </x:c>
      <x:c r="E12" s="11" t="str">
        <x:v>대응 기준</x:v>
      </x:c>
    </x:row>
    <x:row r="13" ht="25" customHeight="1">
      <x:c r="A13" s="12" t="str">
        <x:v>수술비 보장 특약</x:v>
      </x:c>
      <x:c r="B13" s="12" t="str">
        <x:v>암/건강보험</x:v>
      </x:c>
      <x:c r="C13" s="12" t="str">
        <x:v>질병 및 재해 수술비 특약</x:v>
      </x:c>
      <x:c r="D13" s="12" t="str">
        <x:v>1</x:v>
      </x:c>
      <x:c r="E13" s="12" t="str">
        <x:v>문맥상 대응 추정. CSV 원문 보존</x:v>
      </x:c>
    </x:row>
    <x:row r="14" ht="25" customHeight="1">
      <x:c r="A14" s="2" t="str">
        <x:v>표적항암약물허가치료 특약</x:v>
      </x:c>
      <x:c r="B14" s="2" t="str">
        <x:v>암/건강보험</x:v>
      </x:c>
      <x:c r="C14" s="2" t="str">
        <x:v>표적항암약물허가치료 특약</x:v>
      </x:c>
      <x:c r="D14" s="2" t="str">
        <x:v>1</x:v>
      </x:c>
      <x:c r="E14" s="2" t="str">
        <x:v>명칭 일치</x:v>
      </x:c>
    </x:row>
    <x:row r="15" ht="25" customHeight="1">
      <x:c r="A15" s="12" t="str">
        <x:v>중증질환 산정특례 보장 특약</x:v>
      </x:c>
      <x:c r="B15" s="12" t="str">
        <x:v>간편심사보험</x:v>
      </x:c>
      <x:c r="C15" s="12" t="str">
        <x:v>중증질환 산정특례 보장 특약</x:v>
      </x:c>
      <x:c r="D15" s="12" t="str">
        <x:v>2~3</x:v>
      </x:c>
      <x:c r="E15" s="12" t="str">
        <x:v>명칭 일치</x:v>
      </x:c>
    </x:row>
    <x:row r="16" ht="25" customHeight="1">
      <x:c r="A16" s="2" t="str">
        <x:v>가족 수입 보장 특약</x:v>
      </x:c>
      <x:c r="B16" s="2" t="str">
        <x:v>종신보험</x:v>
      </x:c>
      <x:c r="C16" s="2" t="str">
        <x:v>가족 수입 보장 특약</x:v>
      </x:c>
      <x:c r="D16" s="2" t="str">
        <x:v>3~4</x:v>
      </x:c>
      <x:c r="E16" s="2" t="str">
        <x:v>명칭 일치</x:v>
      </x:c>
    </x:row>
    <x:row r="17" ht="25" customHeight="1">
      <x:c r="A17" s="12" t="str">
        <x:v>선택 안함</x:v>
      </x:c>
      <x:c r="B17" s="12" t="str">
        <x:v>연금 이외 3종</x:v>
      </x:c>
      <x:c r="C17" s="12" t="str">
        <x:v>해당 없음</x:v>
      </x:c>
      <x:c r="D17" s="12" t="str">
        <x:v>—</x:v>
      </x:c>
      <x:c r="E17" s="12" t="str">
        <x:v>생성 코드상 특약 미선택</x:v>
      </x:c>
    </x:row>
    <x:row r="18" ht="25" customHeight="1">
      <x:c r="A18" s="2" t="str">
        <x:v>특약 없음</x:v>
      </x:c>
      <x:c r="B18" s="2" t="str">
        <x:v>연금보험</x:v>
      </x:c>
      <x:c r="C18" s="2" t="str">
        <x:v>특약 없음</x:v>
      </x:c>
      <x:c r="D18" s="2" t="str">
        <x:v>5</x:v>
      </x:c>
      <x:c r="E18" s="2" t="str">
        <x:v>생성 코드상 상품에 특약 없음</x:v>
      </x:c>
    </x:row>
    <x:row r="19" ht="24" customHeight="1">
      <x:c r="A19" s="2"/>
      <x:c r="B19" s="2"/>
      <x:c r="C19" s="2"/>
      <x:c r="D19" s="2"/>
      <x:c r="E19" s="2"/>
    </x:row>
    <x:row r="20" ht="24" customHeight="1">
      <x:c r="A20" s="2"/>
      <x:c r="B20" s="2"/>
      <x:c r="C20" s="2"/>
      <x:c r="D20" s="2"/>
      <x:c r="E20" s="2"/>
    </x:row>
    <x:row r="21" ht="24" customHeight="1">
      <x:c r="A21" s="13" t="str">
        <x:v>분류와 집계 정의</x:v>
      </x:c>
      <x:c r="B21" s="2"/>
      <x:c r="C21" s="2"/>
      <x:c r="D21" s="2"/>
      <x:c r="E21" s="2"/>
    </x:row>
    <x:row r="22" ht="28" customHeight="1">
      <x:c r="A22" s="2" t="str">
        <x:v>자료 성격</x:v>
      </x:c>
      <x:c r="B22" s="14" t="str">
        <x:v>고객·보험·특약 예시 데이터. 실제 고객 실적이나 공식 약관이 아님.</x:v>
      </x:c>
      <x:c r="C22" s="14"/>
      <x:c r="D22" s="14"/>
      <x:c r="E22" s="14"/>
    </x:row>
    <x:row r="23" ht="28" customHeight="1">
      <x:c r="A23" s="2" t="str">
        <x:v>연령대</x:v>
      </x:c>
      <x:c r="B23" s="14" t="str">
        <x:v>20~29 / 30~39 / 40~49 / 50~59 / 60~65세. 60대는 관측 범위만 포함.</x:v>
      </x:c>
      <x:c r="C23" s="14"/>
      <x:c r="D23" s="14"/>
      <x:c r="E23" s="14"/>
    </x:row>
    <x:row r="24" ht="28" customHeight="1">
      <x:c r="A24" s="2" t="str">
        <x:v>자녀구간</x:v>
      </x:c>
      <x:c r="B24" s="14" t="str">
        <x:v>0명, 1명, 2명, 3명 이상. 원본 자녀수는 0~3명.</x:v>
      </x:c>
      <x:c r="C24" s="14"/>
      <x:c r="D24" s="14"/>
      <x:c r="E24" s="14"/>
    </x:row>
    <x:row r="25" ht="28" customHeight="1">
      <x:c r="A25" s="2" t="str">
        <x:v>특약상태</x:v>
      </x:c>
      <x:c r="B25" s="14" t="str">
        <x:v>가입 / 선택 안함 / 특약 없음의 3개 상태를 구분.</x:v>
      </x:c>
      <x:c r="C25" s="14"/>
      <x:c r="D25" s="14"/>
      <x:c r="E25" s="14"/>
    </x:row>
    <x:row r="26" ht="28" customHeight="1">
      <x:c r="A26" s="2" t="str">
        <x:v>특약가입여부</x:v>
      </x:c>
      <x:c r="B26" s="14" t="str">
        <x:v>가입=보장 특약 선택, 미가입=선택 안함 또는 특약 없음.</x:v>
      </x:c>
      <x:c r="C26" s="14"/>
      <x:c r="D26" s="14"/>
      <x:c r="E26" s="14"/>
    </x:row>
    <x:row r="27" ht="28" customHeight="1">
      <x:c r="A27" s="2" t="str">
        <x:v>분모</x:v>
      </x:c>
      <x:c r="B27" s="14" t="str">
        <x:v>전체비중은 1,000행. 특약가입률 및 교차표 비중은 해당 행의 고객수.</x:v>
      </x:c>
      <x:c r="C27" s="14"/>
      <x:c r="D27" s="14"/>
      <x:c r="E27" s="14"/>
    </x:row>
    <x:row r="28" ht="28" customHeight="1">
      <x:c r="A28" s="2" t="str">
        <x:v>분석ID</x:v>
      </x:c>
      <x:c r="B28" s="14" t="str">
        <x:v>원본 행 번호에 C 접두어를 붙인 임시 식별자. 실제 고객번호가 아님.</x:v>
      </x:c>
      <x:c r="C28" s="14"/>
      <x:c r="D28" s="14"/>
      <x:c r="E28" s="14"/>
    </x:row>
    <x:row r="29" ht="28" customHeight="1">
      <x:c r="A29" s="2" t="str">
        <x:v>해석 범위</x:v>
      </x:c>
      <x:c r="B29" s="14" t="str">
        <x:v>나이·가족관계 등에 따라 확률을 준 생성 규칙의 결과. 실제 선호나 인과관계가 아님.</x:v>
      </x:c>
      <x:c r="C29" s="14"/>
      <x:c r="D29" s="14"/>
      <x:c r="E29" s="14"/>
    </x:row>
    <x:row r="30" ht="28" customHeight="1">
      <x:c r="A30" s="2" t="str">
        <x:v>중복 보존</x:v>
      </x:c>
      <x:c r="B30" s="14" t="str">
        <x:v>원본 11개 값이 같은 중복 15행은 삭제하지 않음. 생성 표본으로 1,000행 유지.</x:v>
      </x:c>
      <x:c r="C30" s="14"/>
      <x:c r="D30" s="14"/>
      <x:c r="E30" s="14"/>
    </x:row>
    <x:row r="31" ht="28" customHeight="1">
      <x:c r="A31" s="2" t="str">
        <x:v>기간·재무</x:v>
      </x:c>
      <x:c r="B31" s="14" t="str">
        <x:v>가입일·보험료·가입금액·복수계약 정보 없음. 시계열 및 매출은 분석하지 않음.</x:v>
      </x:c>
      <x:c r="C31" s="14"/>
      <x:c r="D31" s="14"/>
      <x:c r="E31" s="14"/>
    </x:row>
    <x:row r="32" ht="28" customHeight="1">
      <x:c r="A32" s="2" t="str">
        <x:v>엑셀 사용</x:v>
      </x:c>
      <x:c r="B32" s="14" t="str">
        <x:v>고객데이터 머리글 필터로 복수 조건 선택 및 정렬. 집계는 전체 1,000행 기준.</x:v>
      </x:c>
      <x:c r="C32" s="14"/>
      <x:c r="D32" s="14"/>
      <x:c r="E32" s="14"/>
    </x:row>
    <x:row r="33" ht="28" customHeight="1">
      <x:c r="A33" s="2" t="str">
        <x:v>갱신 범위</x:v>
      </x:c>
      <x:c r="B33" s="14" t="str">
        <x:v>엑셀 수식은 현재 1,000행을 참조. 행을 추가하면 수식 범위 확장 및 재검증 필요.</x:v>
      </x:c>
      <x:c r="C33" s="14"/>
      <x:c r="D33" s="14"/>
      <x:c r="E33" s="14"/>
    </x:row>
    <x:row r="34" ht="24" customHeight="1">
      <x:c r="A34" s="2"/>
      <x:c r="B34" s="2"/>
      <x:c r="C34" s="2"/>
      <x:c r="D34" s="2"/>
      <x:c r="E34" s="2"/>
    </x:row>
    <x:row r="35" ht="24" customHeight="1">
      <x:c r="A35" s="2"/>
      <x:c r="B35" s="2"/>
      <x:c r="C35" s="2"/>
      <x:c r="D35" s="2"/>
      <x:c r="E35" s="2"/>
    </x:row>
    <x:row r="36" ht="24" customHeight="1">
      <x:c r="A36" s="13" t="str">
        <x:v>원본 확인</x:v>
      </x:c>
      <x:c r="B36" s="2"/>
      <x:c r="C36" s="2"/>
      <x:c r="D36" s="2"/>
      <x:c r="E36" s="2"/>
    </x:row>
    <x:row r="37" ht="36" customHeight="1">
      <x:c r="A37" s="11" t="str">
        <x:v>점검 항목</x:v>
      </x:c>
      <x:c r="B37" s="11" t="str">
        <x:v>결과</x:v>
      </x:c>
      <x:c r="C37" s="11" t="str">
        <x:v>설명</x:v>
      </x:c>
      <x:c r="D37" s="2"/>
      <x:c r="E37" s="2"/>
    </x:row>
    <x:row r="38" ht="25" customHeight="1">
      <x:c r="A38" s="12" t="str">
        <x:v>고객 레코드 수</x:v>
      </x:c>
      <x:c r="B38" s="12" t="n">
        <x:v>1000</x:v>
      </x:c>
      <x:c r="C38" s="12" t="str">
        <x:v>1행을 더미고객 1명으로 취급</x:v>
      </x:c>
      <x:c r="D38" s="2"/>
      <x:c r="E38" s="2"/>
    </x:row>
    <x:row r="39" ht="25" customHeight="1">
      <x:c r="A39" s="2" t="str">
        <x:v>원본 열 수</x:v>
      </x:c>
      <x:c r="B39" s="2" t="n">
        <x:v>11</x:v>
      </x:c>
      <x:c r="C39" s="2" t="str">
        <x:v>원본 11개 항목 보존</x:v>
      </x:c>
      <x:c r="D39" s="2"/>
      <x:c r="E39" s="2"/>
    </x:row>
    <x:row r="40" ht="25" customHeight="1">
      <x:c r="A40" s="12" t="str">
        <x:v>결측 셀 수</x:v>
      </x:c>
      <x:c r="B40" s="12" t="n">
        <x:v>0</x:v>
      </x:c>
      <x:c r="C40" s="12" t="str">
        <x:v>문자열 없음·선택 안함·특약 없음은 결측값이 아님</x:v>
      </x:c>
      <x:c r="D40" s="2"/>
      <x:c r="E40" s="2"/>
    </x:row>
    <x:row r="41" ht="25" customHeight="1">
      <x:c r="A41" s="2" t="str">
        <x:v>모든 원본 항목이 같은 중복 행 수</x:v>
      </x:c>
      <x:c r="B41" s="2" t="n">
        <x:v>15</x:v>
      </x:c>
      <x:c r="C41" s="2" t="str">
        <x:v>원본 고객ID가 없어 동일인 여부는 검증할 수 없음</x:v>
      </x:c>
      <x:c r="D41" s="2"/>
      <x:c r="E41" s="2"/>
    </x:row>
    <x:row r="42" ht="25" customHeight="1">
      <x:c r="A42" s="12" t="str">
        <x:v>상품·특약 조합 불일치</x:v>
      </x:c>
      <x:c r="B42" s="12" t="n">
        <x:v>0</x:v>
      </x:c>
      <x:c r="C42" s="12" t="str">
        <x:v>제공된 생성 코드의 허용 조합 기준</x:v>
      </x:c>
      <x:c r="D42" s="2"/>
      <x:c r="E42" s="2"/>
    </x:row>
    <x:row r="43" ht="25" customHeight="1">
      <x:c r="A43" s="2" t="str">
        <x:v>최소 나이</x:v>
      </x:c>
      <x:c r="B43" s="2" t="n">
        <x:v>20</x:v>
      </x:c>
      <x:c r="C43" s="2" t="str">
        <x:v>세</x:v>
      </x:c>
      <x:c r="D43" s="2"/>
      <x:c r="E43" s="2"/>
    </x:row>
    <x:row r="44" ht="25" customHeight="1">
      <x:c r="A44" s="12" t="str">
        <x:v>최대 나이</x:v>
      </x:c>
      <x:c r="B44" s="12" t="n">
        <x:v>65</x:v>
      </x:c>
      <x:c r="C44" s="12" t="str">
        <x:v>세. 60대 구간은 60~65세만 포함</x:v>
      </x:c>
      <x:c r="D44" s="2"/>
      <x:c r="E44" s="2"/>
    </x:row>
    <x:row r="45" ht="24" customHeight="1">
      <x:c r="A45" s="2"/>
      <x:c r="B45" s="2"/>
      <x:c r="C45" s="2"/>
      <x:c r="D45" s="2"/>
      <x:c r="E45" s="2"/>
    </x:row>
    <x:row r="46" ht="24" customHeight="1">
      <x:c r="A46" s="2"/>
      <x:c r="B46" s="2"/>
      <x:c r="C46" s="2"/>
      <x:c r="D46" s="2"/>
      <x:c r="E46" s="2"/>
    </x:row>
    <x:row r="47" ht="24" customHeight="1">
      <x:c r="A47" s="13" t="str">
        <x:v>출처</x:v>
      </x:c>
      <x:c r="B47" s="2"/>
      <x:c r="C47" s="2"/>
      <x:c r="D47" s="2"/>
      <x:c r="E47" s="2"/>
    </x:row>
    <x:row r="48" ht="24" customHeight="1">
      <x:c r="A48" s="2" t="str">
        <x:v>customer_data.csv: 사용자 제공 1,000행, 11열. 기준일과 가입일 미제공.</x:v>
      </x:c>
      <x:c r="B48" s="2"/>
      <x:c r="C48" s="2"/>
      <x:c r="D48" s="2"/>
      <x:c r="E48" s="2"/>
    </x:row>
    <x:row r="49" ht="24" customHeight="1">
      <x:c r="A49" s="2" t="str">
        <x:v>dongyang_products.pdf: 사용자 제공 5쪽. 상품 분류와 특약 명칭 대응에만 사용.</x:v>
      </x:c>
      <x:c r="B49" s="2"/>
      <x:c r="C49" s="2"/>
      <x:c r="D49" s="2"/>
      <x:c r="E49" s="2"/>
    </x:row>
    <x:row r="50" ht="24" customHeight="1">
      <x:c r="A50" s="2" t="str">
        <x:v>generate_data.py: 로컬 dongyang_project 사본. seed=42, NUM_SAMPLES=1000.</x:v>
      </x:c>
      <x:c r="B50" s="2"/>
      <x:c r="C50" s="2"/>
      <x:c r="D50" s="2"/>
      <x:c r="E50" s="2"/>
    </x:row>
    <x:row r="51" ht="24" customHeight="1">
      <x:c r="A51" s="2" t="str">
        <x:v>GitHub: https://github.com/pineman1/dongyang_project/tree/main (온라인 본문 확인 불가)</x:v>
      </x:c>
      <x:c r="B51" s="2"/>
      <x:c r="C51" s="2"/>
      <x:c r="D51" s="2"/>
      <x:c r="E51" s="2"/>
    </x:row>
    <x:row r="52" ht="24" customHeight="1">
      <x:c r="A52" s="2" t="str">
        <x:v>다운로드 원본과 로컬 저장소의 CSV·PDF는 파일 해시가 각각 일치함.</x:v>
      </x:c>
      <x:c r="B52" s="2"/>
      <x:c r="C52" s="2"/>
      <x:c r="D52" s="2"/>
      <x:c r="E52" s="2"/>
    </x:row>
    <x:row r="53" ht="24" customHeight="1">
      <x:c r="A53" s="2" t="str">
        <x:v>CSV SHA-256: 5b85493c350727598f1cbe60af2e6a31007a8be5ae4069f40800adf3a6ce71c4</x:v>
      </x:c>
      <x:c r="B53" s="2"/>
      <x:c r="C53" s="2"/>
      <x:c r="D53" s="2"/>
      <x:c r="E53" s="2"/>
    </x:row>
    <x:row r="54" ht="24" customHeight="1">
      <x:c r="A54" s="2" t="str">
        <x:v>PDF SHA-256: 7c894abb5186f7d3d9807863c07bf3b079780b8c77cb5c16101c5f7bb51acea4</x:v>
      </x:c>
      <x:c r="B54" s="2"/>
      <x:c r="C54" s="2"/>
      <x:c r="D54" s="2"/>
      <x:c r="E54" s="2"/>
    </x:row>
    <x:row r="55" ht="24" customHeight="1">
      <x:c r="A55" s="2" t="str">
        <x:v>분석 작성일: 2026-09-18. PDF의 영업 문구·의학·법률 설명은 분석 지침이나 검증된 사실로 사용하지 않음.</x:v>
      </x:c>
      <x:c r="B55" s="2"/>
      <x:c r="C55" s="2"/>
      <x:c r="D55" s="2"/>
      <x:c r="E55" s="2"/>
    </x:row>
    <x:row r="56" ht="24" customHeight="1">
      <x:c r="A56" s="2"/>
      <x:c r="B56" s="2"/>
      <x:c r="C56" s="2"/>
      <x:c r="D56" s="2"/>
      <x:c r="E56" s="2"/>
    </x:row>
    <x:row r="57" ht="24" customHeight="1">
      <x:c r="A57" s="2"/>
      <x:c r="B57" s="2"/>
      <x:c r="C57" s="2"/>
      <x:c r="D57" s="2"/>
      <x:c r="E57" s="2"/>
    </x:row>
    <x:row r="58" ht="24" customHeight="1">
      <x:c r="A58" s="2"/>
      <x:c r="B58" s="2"/>
      <x:c r="C58" s="2"/>
      <x:c r="D58" s="2"/>
      <x:c r="E58" s="2"/>
    </x:row>
    <x:row r="59" ht="24" customHeight="1">
      <x:c r="A59" s="2"/>
      <x:c r="B59" s="2"/>
      <x:c r="C59" s="2"/>
      <x:c r="D59" s="2"/>
      <x:c r="E59" s="2"/>
    </x:row>
    <x:row r="60" ht="24" customHeight="1">
      <x:c r="A60" s="2"/>
      <x:c r="B60" s="2"/>
      <x:c r="C60" s="2"/>
      <x:c r="D60" s="2"/>
      <x:c r="E60" s="2"/>
    </x:row>
    <x:row r="61" ht="24" customHeight="1">
      <x:c r="A61" s="2"/>
      <x:c r="B61" s="2"/>
      <x:c r="C61" s="2"/>
      <x:c r="D61" s="2"/>
      <x:c r="E61" s="2"/>
    </x:row>
    <x:row r="62" ht="24" customHeight="1">
      <x:c r="A62" s="2"/>
      <x:c r="B62" s="2"/>
      <x:c r="C62" s="2"/>
      <x:c r="D62" s="2"/>
      <x:c r="E62" s="2"/>
    </x:row>
    <x:row r="63" ht="24" customHeight="1">
      <x:c r="A63" s="2"/>
      <x:c r="B63" s="2"/>
      <x:c r="C63" s="2"/>
      <x:c r="D63" s="2"/>
      <x:c r="E63" s="2"/>
    </x:row>
    <x:row r="64" ht="24" customHeight="1">
      <x:c r="A64" s="2"/>
      <x:c r="B64" s="2"/>
      <x:c r="C64" s="2"/>
      <x:c r="D64" s="2"/>
      <x:c r="E64" s="2"/>
    </x:row>
  </x:sheetData>
  <x:mergeCells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C38:E38"/>
    <x:mergeCell ref="C39:E39"/>
    <x:mergeCell ref="C40:E40"/>
    <x:mergeCell ref="C41:E41"/>
    <x:mergeCell ref="C42:E42"/>
    <x:mergeCell ref="C43:E43"/>
    <x:mergeCell ref="C44:E44"/>
    <x:mergeCell ref="A48:E48"/>
    <x:mergeCell ref="A49:E49"/>
    <x:mergeCell ref="A50:E50"/>
    <x:mergeCell ref="A51:E51"/>
    <x:mergeCell ref="A52:E52"/>
    <x:mergeCell ref="A53:E53"/>
    <x:mergeCell ref="A54:E54"/>
    <x:mergeCell ref="A55:E55"/>
  </x:mergeCells>
  <x:pageMargins left="0.7" right="0.7" top="0.75" bottom="0.75" header="0.3" footer="0.3"/>
</x:worksheet>
</file>